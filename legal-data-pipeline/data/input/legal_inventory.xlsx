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c2b82221e6dd0c8/바탕 화면/보험 규제 AI 에이전트 프로젝트/"/>
    </mc:Choice>
  </mc:AlternateContent>
  <xr:revisionPtr revIDLastSave="0" documentId="8_{2D806B44-722B-42A1-95ED-80443C58F45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00. 개요" sheetId="1" r:id="rId1"/>
    <sheet name="01. 데이터 인벤토리(안)" sheetId="2" r:id="rId2"/>
    <sheet name="02. 수집가능성 점검" sheetId="3" r:id="rId3"/>
    <sheet name="03. DB연계(안)" sheetId="4" r:id="rId4"/>
    <sheet name="04. 참고출처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F10" i="1"/>
  <c r="B10" i="1"/>
  <c r="F9" i="1"/>
  <c r="B9" i="1"/>
  <c r="F8" i="1"/>
  <c r="B8" i="1"/>
  <c r="F11" i="1" l="1"/>
  <c r="G8" i="1" s="1"/>
  <c r="G10" i="1" l="1"/>
  <c r="G9" i="1"/>
  <c r="G11" i="1" l="1"/>
</calcChain>
</file>

<file path=xl/sharedStrings.xml><?xml version="1.0" encoding="utf-8"?>
<sst xmlns="http://schemas.openxmlformats.org/spreadsheetml/2006/main" count="1044" uniqueCount="392">
  <si>
    <t>실손의료비보험 법령·규정 데이터 인벤토리(안)</t>
  </si>
  <si>
    <t>작성 기준</t>
  </si>
  <si>
    <t>작성일</t>
  </si>
  <si>
    <t>2026-05-18</t>
  </si>
  <si>
    <t>요약 지표</t>
  </si>
  <si>
    <t>값</t>
  </si>
  <si>
    <t>설명</t>
  </si>
  <si>
    <t>비고</t>
  </si>
  <si>
    <t>관련성</t>
  </si>
  <si>
    <t>건수</t>
  </si>
  <si>
    <t>비중</t>
  </si>
  <si>
    <t>전체 검토대상(안)</t>
  </si>
  <si>
    <t>1단계 인벤토리에 등록된 전체 항목</t>
  </si>
  <si>
    <t>직접</t>
  </si>
  <si>
    <t>직접 관련</t>
  </si>
  <si>
    <t>약관·상품설명서 작성/검토에 직접 연결</t>
  </si>
  <si>
    <t>간접</t>
  </si>
  <si>
    <t>간접 관련</t>
  </si>
  <si>
    <t>배경 법령 또는 적용 가능성이 있는 항목</t>
  </si>
  <si>
    <t>확장</t>
  </si>
  <si>
    <t>확장 관련</t>
  </si>
  <si>
    <t>RAG 고도화·분쟁·광고·비대면 확장 후보</t>
  </si>
  <si>
    <t>합계</t>
  </si>
  <si>
    <t>1단계 최종 분류 체계</t>
  </si>
  <si>
    <t>그룹</t>
  </si>
  <si>
    <t>성격</t>
  </si>
  <si>
    <t>우선순위 판단</t>
  </si>
  <si>
    <t>1. 보험상품·감독·기초서류</t>
  </si>
  <si>
    <t>약관/상품설명서 직접 기준</t>
  </si>
  <si>
    <t>최상</t>
  </si>
  <si>
    <t>2. 보험업 상위 법령</t>
  </si>
  <si>
    <t>보험상품·보험계약 상위 체계</t>
  </si>
  <si>
    <t>3. 약관 규제·계약 일반</t>
  </si>
  <si>
    <t>약관 공정성·해석 기준</t>
  </si>
  <si>
    <t>상</t>
  </si>
  <si>
    <t>4. 금융소비자 보호·설명의무</t>
  </si>
  <si>
    <t>상품설명서·불완전판매 기준</t>
  </si>
  <si>
    <t>5. 실손의료비 보장범위·의료 개념</t>
  </si>
  <si>
    <t>급여·비급여·의료기관 기준</t>
  </si>
  <si>
    <t>6. 보험금 청구·지급·손해사정·분쟁</t>
  </si>
  <si>
    <t>청구절차·민원·분쟁 기준</t>
  </si>
  <si>
    <t>7. 개인정보·신용정보·민감정보</t>
  </si>
  <si>
    <t>건강정보·신용정보 처리 기준</t>
  </si>
  <si>
    <t>중상</t>
  </si>
  <si>
    <t>8. 전자문서·비대면 판매·전자서명</t>
  </si>
  <si>
    <t>다이렉트/비대면 설명 체계</t>
  </si>
  <si>
    <t>중</t>
  </si>
  <si>
    <t>9. 표시·광고·온라인 판매 소비자보호</t>
  </si>
  <si>
    <t>오인·과장 표현 검토</t>
  </si>
  <si>
    <t>10. 판례·민원·가이드</t>
  </si>
  <si>
    <t>RAG 고도화 근거</t>
  </si>
  <si>
    <t>No</t>
  </si>
  <si>
    <t>검토대상(안)</t>
  </si>
  <si>
    <t>유형</t>
  </si>
  <si>
    <t>우선순위</t>
  </si>
  <si>
    <t>주요 활용 목적</t>
  </si>
  <si>
    <t>Agent 활용 기능</t>
  </si>
  <si>
    <t>왜 필요한가</t>
  </si>
  <si>
    <t>보험업감독규정</t>
  </si>
  <si>
    <t>행정규칙</t>
  </si>
  <si>
    <t>보험상품, 기초서류, 상품공시, 감독 기준</t>
  </si>
  <si>
    <t>실손보험 상품 구조와 기초서류 검토 기준의 상위 행정규칙으로 활용 가능</t>
  </si>
  <si>
    <t>보험업감독업무시행세칙</t>
  </si>
  <si>
    <t>감독규정 세부 기준, 별표·서식·표준약관 연결</t>
  </si>
  <si>
    <t>감독규정 위임사항과 표준약관·서식류를 확인할 수 있는 실무형 기준</t>
  </si>
  <si>
    <t>실손의료보험 표준약관</t>
  </si>
  <si>
    <t>표준문서</t>
  </si>
  <si>
    <t>실손보험 약관 초안 작성 및 비교 검토 기준</t>
  </si>
  <si>
    <t>약관 초안 작성; 정합성 검토; 적합성 검토</t>
  </si>
  <si>
    <t>보험사별 실손보험 약관의 기준 문서로 삼을 수 있음</t>
  </si>
  <si>
    <t>실손의료보험 표준사업방법서</t>
  </si>
  <si>
    <t>상품 구조, 보장 방식, 운영 기준</t>
  </si>
  <si>
    <t>약관 초안 작성; 상품설명서 초안 작성; 정합성 검토</t>
  </si>
  <si>
    <t>약관 조항과 상품설명서 설명 항목 사이의 상품 구조 기준</t>
  </si>
  <si>
    <t>보험상품 기초서류 관련 서식</t>
  </si>
  <si>
    <t>서식/표준문서</t>
  </si>
  <si>
    <t>약관·사업방법서·상품설명서 구조화 기준</t>
  </si>
  <si>
    <t>상품설명서 초안 작성; 적합성 검토</t>
  </si>
  <si>
    <t>문서 유형별 필수 구성항목을 파악하는 데 필요</t>
  </si>
  <si>
    <t>보험업법</t>
  </si>
  <si>
    <t>법률</t>
  </si>
  <si>
    <t>보험업, 보험상품, 보험모집, 보험회사 규율</t>
  </si>
  <si>
    <t>약관 초안 작성; 적합성 검토; 개정감지</t>
  </si>
  <si>
    <t>보험상품과 보험업 감독체계의 상위 법령</t>
  </si>
  <si>
    <t>보험업법 시행령</t>
  </si>
  <si>
    <t>시행령</t>
  </si>
  <si>
    <t>보험업법 위임사항 구체화</t>
  </si>
  <si>
    <t>적합성 검토; 개정감지</t>
  </si>
  <si>
    <t>보험업법 조항의 세부 적용 기준 확인</t>
  </si>
  <si>
    <t>보험업법 시행규칙</t>
  </si>
  <si>
    <t>시행규칙</t>
  </si>
  <si>
    <t>보험업법·시행령 세부 절차</t>
  </si>
  <si>
    <t>세부 절차와 서식 확인 가능성</t>
  </si>
  <si>
    <t>상법 제4편 보험</t>
  </si>
  <si>
    <t>보험계약 일반 원칙, 고지의무, 보험금 지급</t>
  </si>
  <si>
    <t>보험계약의 민사법적 일반 원칙</t>
  </si>
  <si>
    <t>보험사기방지 특별법</t>
  </si>
  <si>
    <t>보험금 청구·심사·부정청구 검토 확장</t>
  </si>
  <si>
    <t>청구·지급절차 검토; 적합성 검토</t>
  </si>
  <si>
    <t>보험금 청구 과정의 부정청구 대응과 연결 가능</t>
  </si>
  <si>
    <t>약관의 규제에 관한 법률</t>
  </si>
  <si>
    <t>불공정 약관, 고객에게 부당하게 불리한 조항 검토</t>
  </si>
  <si>
    <t>약관 초안 작성; 소비자위험 검토; 적합성 검토; 개정감지</t>
  </si>
  <si>
    <t>약관 조항의 공정성·명확성 검토 근거</t>
  </si>
  <si>
    <t>약관의 규제에 관한 법률 시행령</t>
  </si>
  <si>
    <t>약관규제법 세부 적용 기준</t>
  </si>
  <si>
    <t>소비자위험 검토; 적합성 검토; 개정감지</t>
  </si>
  <si>
    <t>약관규제법 적용 세부 기준 확인</t>
  </si>
  <si>
    <t>민법</t>
  </si>
  <si>
    <t>계약 일반 원칙, 의사표시, 손해배상</t>
  </si>
  <si>
    <t>약관 초안 작성; 적합성 검토</t>
  </si>
  <si>
    <t>계약 일반 법리와 약관 해석 배경</t>
  </si>
  <si>
    <t>소비자기본법</t>
  </si>
  <si>
    <t>소비자 권익 보호 일반 원칙</t>
  </si>
  <si>
    <t>소비자위험 검토; 적합성 검토</t>
  </si>
  <si>
    <t>소비자 보호 일반 원칙 확인</t>
  </si>
  <si>
    <t>4. 금융소비자 보호·설명의무·판매규제</t>
  </si>
  <si>
    <t>금융소비자 보호에 관한 법률</t>
  </si>
  <si>
    <t>설명의무, 불완전판매, 금융상품 판매규제</t>
  </si>
  <si>
    <t>상품설명서의 중요사항 설명 및 오인 가능성 검토 핵심</t>
  </si>
  <si>
    <t>금융소비자 보호에 관한 법률 시행령</t>
  </si>
  <si>
    <t>설명의무 세부 기준</t>
  </si>
  <si>
    <t>설명의무 적용 범위와 세부사항 확인</t>
  </si>
  <si>
    <t>금융소비자 보호에 관한 감독규정</t>
  </si>
  <si>
    <t>금융상품 설명·판매 관련 감독 기준</t>
  </si>
  <si>
    <t>금융상품 판매절차와 설명 방식에 대한 감독 기준</t>
  </si>
  <si>
    <t>금융소비자 보호에 관한 감독규정 시행세칙</t>
  </si>
  <si>
    <t>세칙/행정규칙</t>
  </si>
  <si>
    <t>설명서·판매절차 세부 운영 기준</t>
  </si>
  <si>
    <t>상품설명서 초안 작성; 소비자위험 검토; 개정감지</t>
  </si>
  <si>
    <t>세부 서식·운영 기준 확인 가능성</t>
  </si>
  <si>
    <t>금융상품판매업자 등의 금지행위 관련 기준</t>
  </si>
  <si>
    <t>고시/가이드</t>
  </si>
  <si>
    <t>부당권유, 오인·과장 표현 검토</t>
  </si>
  <si>
    <t>금융상품 설명 문구의 위험표현 탐지 확장</t>
  </si>
  <si>
    <t>국민건강보험법</t>
  </si>
  <si>
    <t>요양급여, 본인부담금, 급여 의료비</t>
  </si>
  <si>
    <t>상품설명서 초안 작성; 정합성 검토; 적합성 검토; 개정감지</t>
  </si>
  <si>
    <t>실손보험의 급여 의료비와 본인부담금 개념 근거</t>
  </si>
  <si>
    <t>국민건강보험법 시행령</t>
  </si>
  <si>
    <t>건강보험 급여·본인부담 세부 기준</t>
  </si>
  <si>
    <t>상품설명서 초안 작성; 적합성 검토; 개정감지</t>
  </si>
  <si>
    <t>건강보험 관련 세부 기준 확인</t>
  </si>
  <si>
    <t>국민건강보험법 시행규칙</t>
  </si>
  <si>
    <t>건강보험 급여 절차·서식</t>
  </si>
  <si>
    <t>급여 절차와 서식 수준 확인</t>
  </si>
  <si>
    <t>의료급여법</t>
  </si>
  <si>
    <t>의료급여, 의료급여 수급권자, 의료급여 기준</t>
  </si>
  <si>
    <t>의료급여 대상자의 보장 설명과 연결</t>
  </si>
  <si>
    <t>의료급여법 시행령</t>
  </si>
  <si>
    <t>의료급여 세부 기준</t>
  </si>
  <si>
    <t>의료급여 세부 적용 확인</t>
  </si>
  <si>
    <t>의료급여법 시행규칙</t>
  </si>
  <si>
    <t>의료급여 세부 절차</t>
  </si>
  <si>
    <t>의료급여 관련 세부 절차 확인</t>
  </si>
  <si>
    <t>의료법</t>
  </si>
  <si>
    <t>입원·통원·의료기관 개념과 연결</t>
  </si>
  <si>
    <t>의료법 시행령</t>
  </si>
  <si>
    <t>의료법 세부 기준</t>
  </si>
  <si>
    <t>의료기관 관련 세부 기준 확인</t>
  </si>
  <si>
    <t>의료법 시행규칙</t>
  </si>
  <si>
    <t>의료기관·진료 관련 세부 기준</t>
  </si>
  <si>
    <t>진료기록, 의료기관 운영 관련 세부 기준 확인</t>
  </si>
  <si>
    <t>국민건강보험 요양급여의 기준에 관한 규칙</t>
  </si>
  <si>
    <t>부령/규칙</t>
  </si>
  <si>
    <t>요양급여 인정 기준</t>
  </si>
  <si>
    <t>급여 인정 기준과 보장범위 설명에 직접 연결</t>
  </si>
  <si>
    <t>건강보험 행위 급여·비급여 목록표 및 급여 상대가치점수</t>
  </si>
  <si>
    <t>고시</t>
  </si>
  <si>
    <t>급여·비급여 항목 분류</t>
  </si>
  <si>
    <t>실손보험의 급여·비급여 설명과 보상 제외 검토에 필요</t>
  </si>
  <si>
    <t>치료재료 급여·비급여 목록 및 급여상한금액표</t>
  </si>
  <si>
    <t>치료재료 보장·비보장 판단</t>
  </si>
  <si>
    <t>상품설명서 초안 작성; 정합성 검토; 개정감지</t>
  </si>
  <si>
    <t>치료재료 관련 보장범위 설명 확장</t>
  </si>
  <si>
    <t>약제 급여 목록 및 급여상한금액표</t>
  </si>
  <si>
    <t>약제비·처방조제비 보장 설명</t>
  </si>
  <si>
    <t>처방조제비 및 약제비 설명 확장</t>
  </si>
  <si>
    <t>금융위원회의 설치 등에 관한 법률</t>
  </si>
  <si>
    <t>금융감독·분쟁조정 제도 배경</t>
  </si>
  <si>
    <t>소비자위험 검토; 청구·지급절차 검토</t>
  </si>
  <si>
    <t>금융감독 및 분쟁조정 제도 이해</t>
  </si>
  <si>
    <t>금융분쟁조정 관련 규정·세칙</t>
  </si>
  <si>
    <t>규정/세칙</t>
  </si>
  <si>
    <t>분쟁조정 절차, 민원 대응</t>
  </si>
  <si>
    <t>분쟁·민원 대응 시나리오 확장</t>
  </si>
  <si>
    <t>손해사정 관련 감독 기준</t>
  </si>
  <si>
    <t>행정규칙/가이드</t>
  </si>
  <si>
    <t>보험금 청구·심사 절차 검토</t>
  </si>
  <si>
    <t>보험금 지급 검토 프로세스 확장</t>
  </si>
  <si>
    <t>금융감독원 분쟁조정례</t>
  </si>
  <si>
    <t>분쟁례</t>
  </si>
  <si>
    <t>설명의무·고지의무·면책 관련 사례 RAG</t>
  </si>
  <si>
    <t>실제 분쟁 사례 기반 검토 품질 고도화</t>
  </si>
  <si>
    <t>7. 개인정보·신용정보·민감정보 처리</t>
  </si>
  <si>
    <t>개인정보 보호법</t>
  </si>
  <si>
    <t>민감정보, 건강정보 처리 기준</t>
  </si>
  <si>
    <t>개인정보 검토; 적합성 검토; 개정감지</t>
  </si>
  <si>
    <t>실손보험 가입·청구 과정에서 건강정보 처리와 연결</t>
  </si>
  <si>
    <t>개인정보 보호법 시행령</t>
  </si>
  <si>
    <t>개인정보 처리 세부 기준</t>
  </si>
  <si>
    <t>개인정보 처리 세부 기준 확인</t>
  </si>
  <si>
    <t>신용정보의 이용 및 보호에 관한 법률</t>
  </si>
  <si>
    <t>개인신용정보 제공·이용 안내</t>
  </si>
  <si>
    <t>보험계약·청구 과정의 신용정보 처리와 고객 권리 안내</t>
  </si>
  <si>
    <t>신용정보의 이용 및 보호에 관한 법률 시행령</t>
  </si>
  <si>
    <t>신용정보 처리 세부 기준</t>
  </si>
  <si>
    <t>신용정보 처리 세부 기준 확인</t>
  </si>
  <si>
    <t>신용정보업감독규정</t>
  </si>
  <si>
    <t>금융권 신용정보 처리 감독 기준</t>
  </si>
  <si>
    <t>금융권 신용정보 감독 기준 확장</t>
  </si>
  <si>
    <t>전자금융거래법</t>
  </si>
  <si>
    <t>비대면 보험 가입·결제·전자금융거래</t>
  </si>
  <si>
    <t>다이렉트 보험 및 전자금융거래와 연결</t>
  </si>
  <si>
    <t>정보통신망 이용촉진 및 정보보호 등에 관한 법률</t>
  </si>
  <si>
    <t>온라인 서비스·정보보호 확장</t>
  </si>
  <si>
    <t>개인정보 검토; 적합성 검토</t>
  </si>
  <si>
    <t>AI 서비스/웹서비스 운영 시 정보보호 확장</t>
  </si>
  <si>
    <t>전자문서 및 전자거래 기본법</t>
  </si>
  <si>
    <t>전자 약관, 전자 설명서 제공</t>
  </si>
  <si>
    <t>전자문서 형태의 약관·설명서 제공과 연결</t>
  </si>
  <si>
    <t>전자문서 및 전자거래 기본법 시행령</t>
  </si>
  <si>
    <t>전자문서 세부 기준</t>
  </si>
  <si>
    <t>전자문서 적용 세부 기준 확인</t>
  </si>
  <si>
    <t>전자서명법</t>
  </si>
  <si>
    <t>비대면 청약, 전자서명</t>
  </si>
  <si>
    <t>비대면 보험 청약 및 전자서명 절차와 연결</t>
  </si>
  <si>
    <t>전자서명법 시행령</t>
  </si>
  <si>
    <t>전자서명 세부 기준</t>
  </si>
  <si>
    <t>전자서명 세부 기준 확인</t>
  </si>
  <si>
    <t>전자금융거래법 시행령</t>
  </si>
  <si>
    <t>전자금융거래 세부 기준</t>
  </si>
  <si>
    <t>비대면 금융거래 세부 기준 확인</t>
  </si>
  <si>
    <t>표시·광고의 공정화에 관한 법률</t>
  </si>
  <si>
    <t>과장·기만·오인 광고 표현 검토</t>
  </si>
  <si>
    <t>상품설명서/안내문이 광고성 문구와 연결될 경우 필요</t>
  </si>
  <si>
    <t>표시·광고의 공정화에 관한 법률 시행령</t>
  </si>
  <si>
    <t>표시광고법 세부 기준</t>
  </si>
  <si>
    <t>표시광고 세부 기준 확인</t>
  </si>
  <si>
    <t>전자상거래 등에서의 소비자보호에 관한 법률</t>
  </si>
  <si>
    <t>온라인 판매 소비자 보호</t>
  </si>
  <si>
    <t>온라인 보험 판매 흐름 확장 시 후보</t>
  </si>
  <si>
    <t>전자상거래 등에서의 소비자보호에 관한 법률 시행령</t>
  </si>
  <si>
    <t>온라인 판매 세부 기준</t>
  </si>
  <si>
    <t>온라인 판매 세부 기준 확인</t>
  </si>
  <si>
    <t>금융광고 관련 감독 기준</t>
  </si>
  <si>
    <t>가이드/규정</t>
  </si>
  <si>
    <t>금융상품 광고·설명 표현 검토</t>
  </si>
  <si>
    <t>오인·과장 표현 검토 기능 고도화</t>
  </si>
  <si>
    <t>10. 판례·민원·가이드 확장 근거</t>
  </si>
  <si>
    <t>대법원 보험약관 관련 판례</t>
  </si>
  <si>
    <t>판례</t>
  </si>
  <si>
    <t>약관 해석, 고지의무, 설명의무 판단 사례</t>
  </si>
  <si>
    <t>법령 외 실제 해석 기준 RAG 확장</t>
  </si>
  <si>
    <t>보험 관련 주요 민원 사례</t>
  </si>
  <si>
    <t>사례</t>
  </si>
  <si>
    <t>소비자 오인 가능성 탐지</t>
  </si>
  <si>
    <t>소비자위험 검토; 상품설명서 초안 작성</t>
  </si>
  <si>
    <t>민원 유발 문구·설명 누락 탐지</t>
  </si>
  <si>
    <t>생명보험협회 소비자 안내자료</t>
  </si>
  <si>
    <t>가이드</t>
  </si>
  <si>
    <t>보험용어·소비자 안내 문체</t>
  </si>
  <si>
    <t>상품설명서 초안 작성; 소비자위험 검토</t>
  </si>
  <si>
    <t>쉬운 설명 문체와 소비자 안내 기준</t>
  </si>
  <si>
    <t>손해보험협회 소비자 안내자료</t>
  </si>
  <si>
    <t>실손보험 소비자 안내·중복가입 안내</t>
  </si>
  <si>
    <t>실손보험 소비자 안내 자료 확장</t>
  </si>
  <si>
    <t>금융감독원 보도자료·소비자 유의사항</t>
  </si>
  <si>
    <t>가이드/보도자료</t>
  </si>
  <si>
    <t>최신 소비자 유의사항·감독 방향</t>
  </si>
  <si>
    <t>소비자위험 검토; 개정감지</t>
  </si>
  <si>
    <t>감독 방향과 최신 이슈 반영</t>
  </si>
  <si>
    <t>예상 수집 채널</t>
  </si>
  <si>
    <t>수집가능성 등급</t>
  </si>
  <si>
    <t>개정추적 가능성</t>
  </si>
  <si>
    <t>확인 필요 사항</t>
  </si>
  <si>
    <t>출처/조회 URL</t>
  </si>
  <si>
    <t>국가법령정보센터 행정규칙 API</t>
  </si>
  <si>
    <t>B</t>
  </si>
  <si>
    <t>가능</t>
  </si>
  <si>
    <t>행정규칙 본문/별표·서식/변경이력 조회 가능 여부 확인</t>
  </si>
  <si>
    <t>https://open.law.go.kr/LSO/openApi/guideList.do</t>
  </si>
  <si>
    <t>1단계 이후 2단계에서 실제 조회 테스트 필요</t>
  </si>
  <si>
    <t>행정규칙 별표·서식 또는 협회/금감원 웹</t>
  </si>
  <si>
    <t>C</t>
  </si>
  <si>
    <t>부분가능</t>
  </si>
  <si>
    <t>표준약관/표준사업방법서가 별표·첨부파일 형태인지 확인</t>
  </si>
  <si>
    <t>https://www.law.go.kr/ 또는 https://www.knia.or.kr/</t>
  </si>
  <si>
    <t>국가법령정보센터 법령 API</t>
  </si>
  <si>
    <t>A</t>
  </si>
  <si>
    <t>법령 목록/본문/조문/변경이력 조회 가능 여부 확인</t>
  </si>
  <si>
    <t>행정규칙 API 또는 고시/별표 파일</t>
  </si>
  <si>
    <t>B/C</t>
  </si>
  <si>
    <t>고시명 검색 가능성, 별표·첨부파일 다운로드 링크 확인</t>
  </si>
  <si>
    <t>웹/PDF/RAG 수집</t>
  </si>
  <si>
    <t>D</t>
  </si>
  <si>
    <t>어려움/부분가능</t>
  </si>
  <si>
    <t>공개 페이지·PDF·검색 API 여부 확인</t>
  </si>
  <si>
    <t>https://www.fss.or.kr/</t>
  </si>
  <si>
    <t>데이터 영역</t>
  </si>
  <si>
    <t>테이블/컬렉션(안)</t>
  </si>
  <si>
    <t>주요 필드(안)</t>
  </si>
  <si>
    <t>저장 대상</t>
  </si>
  <si>
    <t>RDBMS/Vector</t>
  </si>
  <si>
    <t>Agent 활용</t>
  </si>
  <si>
    <t>1단계 인벤토리</t>
  </si>
  <si>
    <t>legal_source_inventory_plan</t>
  </si>
  <si>
    <t>inventory_id, group_name, source_name, source_type, relevance_level, priority, related_agent_function</t>
  </si>
  <si>
    <t>법령·규정·고시·표준문서·판례·가이드 검토대상(안)</t>
  </si>
  <si>
    <t>RDBMS</t>
  </si>
  <si>
    <t>조사 범위 관리</t>
  </si>
  <si>
    <t>현재 엑셀 01 시트의 DB화 대상</t>
  </si>
  <si>
    <t>법령 문서</t>
  </si>
  <si>
    <t>law_document</t>
  </si>
  <si>
    <t>law_document_id, source_name, law_type, ministry, law_id, mst, effective_date, promulgation_date, source_url, collected_at, is_current</t>
  </si>
  <si>
    <t>법률/시행령/시행규칙/행정규칙 단위 메타데이터</t>
  </si>
  <si>
    <t>정확한 법령 식별 및 최신성 관리</t>
  </si>
  <si>
    <t>2단계 API 확인 후 확정</t>
  </si>
  <si>
    <t>조문</t>
  </si>
  <si>
    <t>law_article</t>
  </si>
  <si>
    <t>law_article_id, law_document_id, article_no, article_title, article_text, paragraph_no, item_no, subitem_no, article_hash</t>
  </si>
  <si>
    <t>조/항/호/목 단위 조문 본문</t>
  </si>
  <si>
    <t>검토 Agent의 조문 근거 제공</t>
  </si>
  <si>
    <t>해시 기반 개정 감지에 사용</t>
  </si>
  <si>
    <t>별표·서식</t>
  </si>
  <si>
    <t>law_attachment</t>
  </si>
  <si>
    <t>attachment_id, law_document_id, attachment_type, attachment_title, file_url, extracted_text, file_hash</t>
  </si>
  <si>
    <t>별표, 서식, 표준약관, 표준사업방법서 첨부</t>
  </si>
  <si>
    <t>RDBMS + Vector</t>
  </si>
  <si>
    <t>표준약관/서식 기반 RAG</t>
  </si>
  <si>
    <t>PDF/HWP 등 파일 추출 필요</t>
  </si>
  <si>
    <t>개정 이력</t>
  </si>
  <si>
    <t>law_revision_history</t>
  </si>
  <si>
    <t>revision_id, law_document_id, law_article_id, revision_date, effective_date, old_hash, new_hash, change_status, change_summary</t>
  </si>
  <si>
    <t>법령·조문 변경 이력</t>
  </si>
  <si>
    <t>개정 감지 및 갱신 알림</t>
  </si>
  <si>
    <t>조문별 변경이력 API 확인 필요</t>
  </si>
  <si>
    <t>검토규칙 매핑</t>
  </si>
  <si>
    <t>review_rule_law_mapping</t>
  </si>
  <si>
    <t>mapping_id, review_category, source_id, law_article_id, applies_to, risk_level, review_question</t>
  </si>
  <si>
    <t>검토 카테고리와 관련 조문 연결</t>
  </si>
  <si>
    <t>약관/상품설명서 검토 Agent</t>
  </si>
  <si>
    <t>B 담당 DB 구조와 연결</t>
  </si>
  <si>
    <t>법령 벡터</t>
  </si>
  <si>
    <t>law_article_vectors</t>
  </si>
  <si>
    <t>law_article_id, chunk_id, embedding, metadata</t>
  </si>
  <si>
    <t>법령 조문 임베딩</t>
  </si>
  <si>
    <t>Vector DB</t>
  </si>
  <si>
    <t>의미 기반 법령 검색</t>
  </si>
  <si>
    <t>변경 조문만 재임베딩</t>
  </si>
  <si>
    <t>감독규정 벡터</t>
  </si>
  <si>
    <t>regulation_vectors</t>
  </si>
  <si>
    <t>source_id, article_id, attachment_id, chunk_id, embedding, metadata</t>
  </si>
  <si>
    <t>행정규칙·고시·별표 임베딩</t>
  </si>
  <si>
    <t>감독 기준 RAG</t>
  </si>
  <si>
    <t>보험업감독규정/시행세칙 우선</t>
  </si>
  <si>
    <t>확장 근거 벡터</t>
  </si>
  <si>
    <t>case_guideline_vectors</t>
  </si>
  <si>
    <t>source_id, chunk_id, source_type, text, embedding, metadata</t>
  </si>
  <si>
    <t>분쟁조정례, 판례, 민원사례, 가이드</t>
  </si>
  <si>
    <t>소비자 위험·민원 사례 검토</t>
  </si>
  <si>
    <t>고도화 단계</t>
  </si>
  <si>
    <t>출처명</t>
  </si>
  <si>
    <t>URL</t>
  </si>
  <si>
    <t>활용 목적</t>
  </si>
  <si>
    <t>국가법령정보센터 Open API 안내</t>
  </si>
  <si>
    <t>법령·행정규칙·변경이력 API 확인</t>
  </si>
  <si>
    <t>2단계 수집 가능성 조사</t>
  </si>
  <si>
    <t>국가법령정보센터</t>
  </si>
  <si>
    <t>https://www.law.go.kr/</t>
  </si>
  <si>
    <t>법률·시행령·행정규칙 원문 확인</t>
  </si>
  <si>
    <t>본문/조문/별표 확인</t>
  </si>
  <si>
    <t>금융감독원</t>
  </si>
  <si>
    <t>분쟁조정례, 보도자료, 소비자 유의사항 확인</t>
  </si>
  <si>
    <t>확장 근거</t>
  </si>
  <si>
    <t>손해보험협회</t>
  </si>
  <si>
    <t>https://www.knia.or.kr/</t>
  </si>
  <si>
    <t>실손보험 표준약관·소비자 안내자료 확인</t>
  </si>
  <si>
    <t>표준문서 후보</t>
  </si>
  <si>
    <t>삼성화재 실손의료비보험 PDF</t>
  </si>
  <si>
    <t>업로드 문서: realloss.pdf</t>
  </si>
  <si>
    <t>보험사 약관·요약서 구조와 법령 관련성 확인</t>
  </si>
  <si>
    <t>프로젝트 기준 문서 후보</t>
  </si>
  <si>
    <t>데이터 인벤토리 구성(안)</t>
    <phoneticPr fontId="4" type="noConversion"/>
  </si>
  <si>
    <t>관련 가능성이 존재하면 데이터 인벤토리(안)에 포함하고, 이후 수집 가능성 및 활용 우선순위로 선별</t>
    <phoneticPr fontId="4" type="noConversion"/>
  </si>
  <si>
    <t>검토 우선순위</t>
    <phoneticPr fontId="4" type="noConversion"/>
  </si>
  <si>
    <t>우선적으로 수집 가능성을 확인할 항목</t>
    <phoneticPr fontId="4" type="noConversion"/>
  </si>
  <si>
    <t>약관 초안 작성; 상품설명서 초안 작성; 적합성 검토; 개정감지</t>
    <phoneticPr fontId="4" type="noConversion"/>
  </si>
  <si>
    <t>상품설명서 초안 작성; 소비자위험 검토; 적합성 검토; 개정감지</t>
    <phoneticPr fontId="4" type="noConversion"/>
  </si>
  <si>
    <t>상품설명서 초안 작성; 정합성 검토; 적합성 검토; 개정감지</t>
    <phoneticPr fontId="4" type="noConversion"/>
  </si>
  <si>
    <t>의료기관, 의료행위, 진료기록</t>
    <phoneticPr fontId="4" type="noConversion"/>
  </si>
  <si>
    <t>1. 보험상품·감독·기초서류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</si>
</sst>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>
    <font>
      <sz val="11"/>
      <name val="Carlito"/>
    </font>
    <font>
      <sz val="11"/>
      <name val="Carlito"/>
    </font>
    <font>
      <sz val="14"/>
      <color rgb="FFFFFFFF"/>
      <name val="나눔스퀘어_ac Bold"/>
      <family val="3"/>
      <charset val="129"/>
    </font>
    <font>
      <sz val="11"/>
      <name val="나눔스퀘어_ac Bold"/>
      <family val="3"/>
      <charset val="129"/>
    </font>
    <font>
      <sz val="8"/>
      <name val="돋움"/>
      <family val="3"/>
      <charset val="129"/>
    </font>
    <font>
      <sz val="9"/>
      <name val="나눔스퀘어_ac"/>
      <family val="3"/>
      <charset val="129"/>
    </font>
    <font>
      <sz val="9"/>
      <color rgb="FFFFFFFF"/>
      <name val="나눔스퀘어_ac Bold"/>
      <family val="3"/>
      <charset val="129"/>
    </font>
    <font>
      <sz val="9"/>
      <color rgb="FF1F4E78"/>
      <name val="나눔스퀘어_ac Bold"/>
      <family val="3"/>
      <charset val="129"/>
    </font>
    <font>
      <sz val="9"/>
      <name val="나눔스퀘어_ac Bold"/>
      <family val="3"/>
      <charset val="129"/>
    </font>
    <font>
      <sz val="9"/>
      <color rgb="FF404040"/>
      <name val="나눔스퀘어_ac"/>
      <family val="3"/>
      <charset val="129"/>
    </font>
    <font>
      <sz val="9"/>
      <color rgb="FFFFFFFF"/>
      <name val="나눔스퀘어OTF_ac Bold"/>
      <family val="2"/>
      <charset val="129"/>
    </font>
  </fonts>
  <fills count="7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8F9FA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3" borderId="1" xfId="1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1" xfId="1" applyFont="1" applyBorder="1" applyAlignment="1">
      <alignment horizontal="center" vertical="center" wrapText="1"/>
    </xf>
    <xf numFmtId="0" fontId="0" fillId="0" borderId="0" xfId="0" applyAlignment="1"/>
    <xf numFmtId="0" fontId="6" fillId="2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left" vertical="center"/>
    </xf>
    <xf numFmtId="0" fontId="8" fillId="0" borderId="1" xfId="0" applyFont="1" applyBorder="1"/>
    <xf numFmtId="0" fontId="9" fillId="5" borderId="1" xfId="1" applyFont="1" applyFill="1" applyBorder="1" applyAlignment="1">
      <alignment vertical="top" wrapText="1"/>
    </xf>
    <xf numFmtId="0" fontId="9" fillId="5" borderId="1" xfId="1" applyFont="1" applyFill="1" applyBorder="1" applyAlignment="1">
      <alignment vertical="top" wrapText="1"/>
    </xf>
    <xf numFmtId="0" fontId="5" fillId="0" borderId="1" xfId="0" applyFont="1" applyBorder="1" applyAlignment="1">
      <alignment horizontal="center"/>
    </xf>
    <xf numFmtId="176" fontId="5" fillId="0" borderId="1" xfId="1" applyNumberFormat="1" applyFont="1" applyBorder="1" applyAlignment="1">
      <alignment horizontal="center"/>
    </xf>
    <xf numFmtId="0" fontId="5" fillId="0" borderId="8" xfId="1" applyFont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5" fillId="6" borderId="5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left" vertical="center" wrapText="1"/>
    </xf>
    <xf numFmtId="0" fontId="5" fillId="6" borderId="8" xfId="1" applyFont="1" applyFill="1" applyBorder="1" applyAlignment="1">
      <alignment horizontal="left" vertical="center" wrapText="1"/>
    </xf>
  </cellXfs>
  <cellStyles count="2">
    <cellStyle name="Normal" xfId="1" xr:uid="{00000000-0005-0000-0000-000000000000}"/>
    <cellStyle name="표준" xfId="0" builtinId="0"/>
  </cellStyles>
  <dxfs count="57"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FFFFFF"/>
        <name val="나눔스퀘어_ac Bold"/>
        <family val="3"/>
        <charset val="129"/>
        <scheme val="none"/>
      </font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FFFFFF"/>
        <name val="나눔스퀘어_ac Bold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auto="1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FFFFFF"/>
        <name val="나눔스퀘어_ac Bold"/>
        <family val="3"/>
        <charset val="129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FFFFFF"/>
        <name val="나눔스퀘어OTF_ac Bold"/>
        <family val="2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vertical="center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ont>
        <b val="0"/>
        <strike val="0"/>
        <outline val="0"/>
        <shadow val="0"/>
        <u val="none"/>
        <vertAlign val="baseline"/>
        <sz val="9"/>
        <color rgb="FFFFFFFF"/>
        <name val="나눔스퀘어_ac Bold"/>
        <family val="3"/>
        <charset val="129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나눔스퀘어_ac"/>
        <family val="3"/>
        <charset val="129"/>
        <scheme val="none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'00. 개요'!$E$8:$E$10</c:f>
              <c:strCache>
                <c:ptCount val="3"/>
                <c:pt idx="0">
                  <c:v>직접</c:v>
                </c:pt>
                <c:pt idx="1">
                  <c:v>간접</c:v>
                </c:pt>
                <c:pt idx="2">
                  <c:v>확장</c:v>
                </c:pt>
              </c:strCache>
            </c:strRef>
          </c:cat>
          <c:val>
            <c:numRef>
              <c:f>'00. 개요'!$F$8:$F$10</c:f>
              <c:numCache>
                <c:formatCode>General</c:formatCode>
                <c:ptCount val="3"/>
                <c:pt idx="0">
                  <c:v>27</c:v>
                </c:pt>
                <c:pt idx="1">
                  <c:v>15</c:v>
                </c:pt>
                <c:pt idx="2">
                  <c:v>16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v>건수</c:v>
                </c15:tx>
              </c15:filteredSeriesTitle>
            </c:ext>
            <c:ext xmlns:c16="http://schemas.microsoft.com/office/drawing/2014/chart" uri="{C3380CC4-5D6E-409C-BE32-E72D297353CC}">
              <c16:uniqueId val="{00000000-A8FA-4A01-BB7A-78839453C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baseline="0">
                <a:latin typeface="나눔스퀘어_ac" panose="020B0600000101010101" pitchFamily="50" charset="-127"/>
                <a:ea typeface="나눔스퀘어_ac" panose="020B0600000101010101" pitchFamily="50" charset="-127"/>
              </a:defRPr>
            </a:pPr>
            <a:endParaRPr lang="ko-K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chemeClr val="tx1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7</xdr:col>
      <xdr:colOff>0</xdr:colOff>
      <xdr:row>26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5EEE2BA1-BE6F-4C47-9AEB-392F6EA03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GroupSummaryTable" displayName="GroupSummaryTable" ref="A15:C25" headerRowDxfId="51" dataDxfId="52" totalsRowDxfId="53">
  <tableColumns count="3">
    <tableColumn id="1" xr3:uid="{00000000-0010-0000-0000-000001000000}" name="그룹" dataDxfId="56"/>
    <tableColumn id="2" xr3:uid="{00000000-0010-0000-0000-000002000000}" name="성격" dataDxfId="55"/>
    <tableColumn id="3" xr3:uid="{00000000-0010-0000-0000-000003000000}" name="우선순위 판단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InventoryPlanTable" displayName="InventoryPlanTable" ref="A1:J59" headerRowDxfId="44" dataDxfId="45" totalsRowDxfId="46" headerRowBorderDxfId="47" tableBorderDxfId="48">
  <tableColumns count="10">
    <tableColumn id="1" xr3:uid="{00000000-0010-0000-0100-000001000000}" name="No" dataDxfId="43"/>
    <tableColumn id="2" xr3:uid="{00000000-0010-0000-0100-000002000000}" name="그룹" dataDxfId="42"/>
    <tableColumn id="3" xr3:uid="{00000000-0010-0000-0100-000003000000}" name="검토대상(안)" dataDxfId="41"/>
    <tableColumn id="4" xr3:uid="{00000000-0010-0000-0100-000004000000}" name="유형" dataDxfId="39"/>
    <tableColumn id="5" xr3:uid="{00000000-0010-0000-0100-000005000000}" name="관련성" dataDxfId="40"/>
    <tableColumn id="6" xr3:uid="{00000000-0010-0000-0100-000006000000}" name="우선순위" dataDxfId="38"/>
    <tableColumn id="7" xr3:uid="{00000000-0010-0000-0100-000007000000}" name="주요 활용 목적" dataDxfId="37"/>
    <tableColumn id="8" xr3:uid="{00000000-0010-0000-0100-000008000000}" name="Agent 활용 기능" dataDxfId="36"/>
    <tableColumn id="9" xr3:uid="{00000000-0010-0000-0100-000009000000}" name="왜 필요한가" dataDxfId="35"/>
    <tableColumn id="10" xr3:uid="{00000000-0010-0000-0100-00000A000000}" name="비고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llectionCheckTable" displayName="CollectionCheckTable" ref="A1:I59" headerRowDxfId="32" dataDxfId="22" headerRowBorderDxfId="33">
  <tableColumns count="9">
    <tableColumn id="1" xr3:uid="{00000000-0010-0000-0200-000001000000}" name="No" dataDxfId="31"/>
    <tableColumn id="2" xr3:uid="{00000000-0010-0000-0200-000002000000}" name="검토대상(안)" dataDxfId="30"/>
    <tableColumn id="3" xr3:uid="{00000000-0010-0000-0200-000003000000}" name="유형" dataDxfId="29"/>
    <tableColumn id="4" xr3:uid="{00000000-0010-0000-0200-000004000000}" name="예상 수집 채널" dataDxfId="28"/>
    <tableColumn id="5" xr3:uid="{00000000-0010-0000-0200-000005000000}" name="수집가능성 등급" dataDxfId="27"/>
    <tableColumn id="6" xr3:uid="{00000000-0010-0000-0200-000006000000}" name="개정추적 가능성" dataDxfId="26"/>
    <tableColumn id="7" xr3:uid="{00000000-0010-0000-0200-000007000000}" name="확인 필요 사항" dataDxfId="25"/>
    <tableColumn id="8" xr3:uid="{00000000-0010-0000-0200-000008000000}" name="출처/조회 URL" dataDxfId="24"/>
    <tableColumn id="9" xr3:uid="{00000000-0010-0000-0200-000009000000}" name="비고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BLinkageTable" displayName="DBLinkageTable" ref="A1:G10" headerRowDxfId="18" dataDxfId="10" totalsRowDxfId="19" headerRowBorderDxfId="20" tableBorderDxfId="21">
  <tableColumns count="7">
    <tableColumn id="1" xr3:uid="{00000000-0010-0000-0300-000001000000}" name="데이터 영역" dataDxfId="17"/>
    <tableColumn id="2" xr3:uid="{00000000-0010-0000-0300-000002000000}" name="테이블/컬렉션(안)" dataDxfId="16"/>
    <tableColumn id="3" xr3:uid="{00000000-0010-0000-0300-000003000000}" name="주요 필드(안)" dataDxfId="15"/>
    <tableColumn id="4" xr3:uid="{00000000-0010-0000-0300-000004000000}" name="저장 대상" dataDxfId="14"/>
    <tableColumn id="5" xr3:uid="{00000000-0010-0000-0300-000005000000}" name="RDBMS/Vector" dataDxfId="13"/>
    <tableColumn id="6" xr3:uid="{00000000-0010-0000-0300-000006000000}" name="Agent 활용" dataDxfId="12"/>
    <tableColumn id="7" xr3:uid="{00000000-0010-0000-0300-000007000000}" name="비고" dataDxfId="1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ourcesTable" displayName="SourcesTable" ref="A1:E6" headerRowDxfId="6" dataDxfId="0" totalsRowDxfId="7" headerRowBorderDxfId="8" tableBorderDxfId="9">
  <tableColumns count="5">
    <tableColumn id="1" xr3:uid="{00000000-0010-0000-0400-000001000000}" name="No" dataDxfId="5"/>
    <tableColumn id="2" xr3:uid="{00000000-0010-0000-0400-000002000000}" name="출처명" dataDxfId="4"/>
    <tableColumn id="3" xr3:uid="{00000000-0010-0000-0400-000003000000}" name="URL" dataDxfId="3"/>
    <tableColumn id="4" xr3:uid="{00000000-0010-0000-0400-000004000000}" name="활용 목적" dataDxfId="2"/>
    <tableColumn id="5" xr3:uid="{00000000-0010-0000-0400-000005000000}" name="비고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opLeftCell="A3" zoomScale="85" zoomScaleNormal="85" workbookViewId="0">
      <selection activeCell="I16" sqref="I16"/>
    </sheetView>
  </sheetViews>
  <sheetFormatPr defaultRowHeight="13.8"/>
  <cols>
    <col min="1" max="1" width="30.796875" customWidth="1"/>
    <col min="2" max="2" width="26.5" customWidth="1"/>
    <col min="3" max="3" width="32" customWidth="1"/>
    <col min="4" max="4" width="18" customWidth="1"/>
    <col min="6" max="7" width="14" customWidth="1"/>
  </cols>
  <sheetData>
    <row r="1" spans="1:7" ht="22.35" customHeight="1">
      <c r="A1" s="1" t="s">
        <v>0</v>
      </c>
      <c r="B1" s="2"/>
      <c r="C1" s="2"/>
      <c r="D1" s="2"/>
      <c r="E1" s="2"/>
      <c r="F1" s="2"/>
      <c r="G1" s="2"/>
    </row>
    <row r="3" spans="1:7">
      <c r="A3" s="6" t="s">
        <v>383</v>
      </c>
      <c r="B3" s="7"/>
      <c r="C3" s="7"/>
      <c r="D3" s="7"/>
      <c r="E3" s="7"/>
      <c r="F3" s="7"/>
      <c r="G3" s="7"/>
    </row>
    <row r="4" spans="1:7">
      <c r="A4" s="8" t="s">
        <v>1</v>
      </c>
      <c r="B4" s="9" t="s">
        <v>384</v>
      </c>
      <c r="C4" s="9"/>
      <c r="D4" s="9"/>
      <c r="E4" s="9"/>
      <c r="F4" s="9"/>
      <c r="G4" s="9"/>
    </row>
    <row r="5" spans="1:7">
      <c r="A5" s="8" t="s">
        <v>2</v>
      </c>
      <c r="B5" s="9" t="s">
        <v>3</v>
      </c>
      <c r="C5" s="9"/>
      <c r="D5" s="9"/>
      <c r="E5" s="9"/>
      <c r="F5" s="9"/>
      <c r="G5" s="9"/>
    </row>
    <row r="7" spans="1:7">
      <c r="A7" s="5" t="s">
        <v>4</v>
      </c>
      <c r="B7" s="5" t="s">
        <v>5</v>
      </c>
      <c r="C7" s="5" t="s">
        <v>6</v>
      </c>
      <c r="E7" s="5" t="s">
        <v>8</v>
      </c>
      <c r="F7" s="5" t="s">
        <v>9</v>
      </c>
      <c r="G7" s="5" t="s">
        <v>10</v>
      </c>
    </row>
    <row r="8" spans="1:7">
      <c r="A8" s="3" t="s">
        <v>11</v>
      </c>
      <c r="B8" s="3">
        <f>COUNTA('01. 데이터 인벤토리(안)'!C2:C59)</f>
        <v>58</v>
      </c>
      <c r="C8" s="3" t="s">
        <v>12</v>
      </c>
      <c r="E8" s="10" t="s">
        <v>13</v>
      </c>
      <c r="F8" s="10">
        <f>COUNTIF('01. 데이터 인벤토리(안)'!E2:E59,E8)</f>
        <v>27</v>
      </c>
      <c r="G8" s="11">
        <f>F8/$F$11</f>
        <v>0.46551724137931033</v>
      </c>
    </row>
    <row r="9" spans="1:7">
      <c r="A9" s="3" t="s">
        <v>14</v>
      </c>
      <c r="B9" s="3">
        <f>COUNTIF('01. 데이터 인벤토리(안)'!E2:E59,"직접")</f>
        <v>27</v>
      </c>
      <c r="C9" s="3" t="s">
        <v>15</v>
      </c>
      <c r="E9" s="10" t="s">
        <v>16</v>
      </c>
      <c r="F9" s="10">
        <f>COUNTIF('01. 데이터 인벤토리(안)'!E2:E59,E9)</f>
        <v>15</v>
      </c>
      <c r="G9" s="11">
        <f>F9/$F$11</f>
        <v>0.25862068965517243</v>
      </c>
    </row>
    <row r="10" spans="1:7">
      <c r="A10" s="3" t="s">
        <v>17</v>
      </c>
      <c r="B10" s="3">
        <f>COUNTIF('01. 데이터 인벤토리(안)'!E2:E59,"간접")</f>
        <v>15</v>
      </c>
      <c r="C10" s="3" t="s">
        <v>18</v>
      </c>
      <c r="E10" s="10" t="s">
        <v>19</v>
      </c>
      <c r="F10" s="10">
        <f>COUNTIF('01. 데이터 인벤토리(안)'!E2:E59,E10)</f>
        <v>16</v>
      </c>
      <c r="G10" s="11">
        <f>F10/$F$11</f>
        <v>0.27586206896551724</v>
      </c>
    </row>
    <row r="11" spans="1:7">
      <c r="A11" s="3" t="s">
        <v>20</v>
      </c>
      <c r="B11" s="3">
        <f>COUNTIF('01. 데이터 인벤토리(안)'!E2:E59,"확장")</f>
        <v>16</v>
      </c>
      <c r="C11" s="3" t="s">
        <v>21</v>
      </c>
      <c r="E11" s="10" t="s">
        <v>22</v>
      </c>
      <c r="F11" s="10">
        <f>SUM(F8:F10)</f>
        <v>58</v>
      </c>
      <c r="G11" s="11">
        <f>SUM(G8:G10)</f>
        <v>1</v>
      </c>
    </row>
    <row r="12" spans="1:7">
      <c r="A12" s="3" t="s">
        <v>385</v>
      </c>
      <c r="B12" s="3">
        <f>COUNTIF('01. 데이터 인벤토리(안)'!F2:F59,1)</f>
        <v>12</v>
      </c>
      <c r="C12" s="3" t="s">
        <v>386</v>
      </c>
    </row>
    <row r="14" spans="1:7">
      <c r="A14" s="6" t="s">
        <v>23</v>
      </c>
      <c r="B14" s="6"/>
      <c r="C14" s="6"/>
      <c r="D14" s="4"/>
      <c r="E14" s="4"/>
      <c r="F14" s="4"/>
      <c r="G14" s="4"/>
    </row>
    <row r="15" spans="1:7">
      <c r="A15" s="5" t="s">
        <v>24</v>
      </c>
      <c r="B15" s="5" t="s">
        <v>25</v>
      </c>
      <c r="C15" s="5" t="s">
        <v>26</v>
      </c>
    </row>
    <row r="16" spans="1:7">
      <c r="A16" s="3" t="s">
        <v>27</v>
      </c>
      <c r="B16" s="3" t="s">
        <v>28</v>
      </c>
      <c r="C16" s="3" t="s">
        <v>29</v>
      </c>
    </row>
    <row r="17" spans="1:3">
      <c r="A17" s="3" t="s">
        <v>30</v>
      </c>
      <c r="B17" s="3" t="s">
        <v>31</v>
      </c>
      <c r="C17" s="3" t="s">
        <v>29</v>
      </c>
    </row>
    <row r="18" spans="1:3">
      <c r="A18" s="3" t="s">
        <v>32</v>
      </c>
      <c r="B18" s="3" t="s">
        <v>33</v>
      </c>
      <c r="C18" s="3" t="s">
        <v>34</v>
      </c>
    </row>
    <row r="19" spans="1:3">
      <c r="A19" s="3" t="s">
        <v>35</v>
      </c>
      <c r="B19" s="3" t="s">
        <v>36</v>
      </c>
      <c r="C19" s="3" t="s">
        <v>29</v>
      </c>
    </row>
    <row r="20" spans="1:3">
      <c r="A20" s="3" t="s">
        <v>37</v>
      </c>
      <c r="B20" s="3" t="s">
        <v>38</v>
      </c>
      <c r="C20" s="3" t="s">
        <v>34</v>
      </c>
    </row>
    <row r="21" spans="1:3">
      <c r="A21" s="3" t="s">
        <v>39</v>
      </c>
      <c r="B21" s="3" t="s">
        <v>40</v>
      </c>
      <c r="C21" s="3" t="s">
        <v>34</v>
      </c>
    </row>
    <row r="22" spans="1:3">
      <c r="A22" s="3" t="s">
        <v>41</v>
      </c>
      <c r="B22" s="3" t="s">
        <v>42</v>
      </c>
      <c r="C22" s="3" t="s">
        <v>43</v>
      </c>
    </row>
    <row r="23" spans="1:3">
      <c r="A23" s="3" t="s">
        <v>44</v>
      </c>
      <c r="B23" s="3" t="s">
        <v>45</v>
      </c>
      <c r="C23" s="3" t="s">
        <v>46</v>
      </c>
    </row>
    <row r="24" spans="1:3">
      <c r="A24" s="3" t="s">
        <v>47</v>
      </c>
      <c r="B24" s="3" t="s">
        <v>48</v>
      </c>
      <c r="C24" s="3" t="s">
        <v>46</v>
      </c>
    </row>
    <row r="25" spans="1:3">
      <c r="A25" s="3" t="s">
        <v>49</v>
      </c>
      <c r="B25" s="3" t="s">
        <v>50</v>
      </c>
      <c r="C25" s="3" t="s">
        <v>19</v>
      </c>
    </row>
  </sheetData>
  <mergeCells count="5">
    <mergeCell ref="A14:C14"/>
    <mergeCell ref="A1:G1"/>
    <mergeCell ref="A3:G3"/>
    <mergeCell ref="B4:G4"/>
    <mergeCell ref="B5:G5"/>
  </mergeCells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topLeftCell="A23" zoomScale="85" zoomScaleNormal="85" workbookViewId="0">
      <selection sqref="A1:I2"/>
    </sheetView>
  </sheetViews>
  <sheetFormatPr defaultRowHeight="13.8"/>
  <cols>
    <col min="1" max="1" width="6" customWidth="1"/>
    <col min="2" max="2" width="24" customWidth="1"/>
    <col min="3" max="3" width="32" customWidth="1"/>
    <col min="4" max="4" width="14" customWidth="1"/>
    <col min="5" max="6" width="10" customWidth="1"/>
    <col min="7" max="7" width="34" customWidth="1"/>
    <col min="8" max="8" width="41.09765625" customWidth="1"/>
    <col min="9" max="9" width="46" customWidth="1"/>
    <col min="10" max="10" width="24" customWidth="1"/>
  </cols>
  <sheetData>
    <row r="1" spans="1:10" ht="27.15" customHeight="1">
      <c r="A1" s="13" t="s">
        <v>51</v>
      </c>
      <c r="B1" s="14" t="s">
        <v>24</v>
      </c>
      <c r="C1" s="14" t="s">
        <v>52</v>
      </c>
      <c r="D1" s="14" t="s">
        <v>53</v>
      </c>
      <c r="E1" s="14" t="s">
        <v>8</v>
      </c>
      <c r="F1" s="14" t="s">
        <v>54</v>
      </c>
      <c r="G1" s="14" t="s">
        <v>55</v>
      </c>
      <c r="H1" s="14" t="s">
        <v>56</v>
      </c>
      <c r="I1" s="14" t="s">
        <v>57</v>
      </c>
      <c r="J1" s="15" t="s">
        <v>7</v>
      </c>
    </row>
    <row r="2" spans="1:10">
      <c r="A2" s="16">
        <v>1</v>
      </c>
      <c r="B2" s="17" t="s">
        <v>391</v>
      </c>
      <c r="C2" s="17" t="s">
        <v>58</v>
      </c>
      <c r="D2" s="17" t="s">
        <v>59</v>
      </c>
      <c r="E2" s="3" t="s">
        <v>13</v>
      </c>
      <c r="F2" s="3">
        <v>1</v>
      </c>
      <c r="G2" s="17" t="s">
        <v>60</v>
      </c>
      <c r="H2" s="17" t="s">
        <v>387</v>
      </c>
      <c r="I2" s="17" t="s">
        <v>61</v>
      </c>
      <c r="J2" s="20"/>
    </row>
    <row r="3" spans="1:10">
      <c r="A3" s="16">
        <v>2</v>
      </c>
      <c r="B3" s="17" t="s">
        <v>27</v>
      </c>
      <c r="C3" s="17" t="s">
        <v>62</v>
      </c>
      <c r="D3" s="17" t="s">
        <v>59</v>
      </c>
      <c r="E3" s="3" t="s">
        <v>13</v>
      </c>
      <c r="F3" s="3">
        <v>1</v>
      </c>
      <c r="G3" s="17" t="s">
        <v>63</v>
      </c>
      <c r="H3" s="17" t="s">
        <v>387</v>
      </c>
      <c r="I3" s="17" t="s">
        <v>64</v>
      </c>
      <c r="J3" s="20"/>
    </row>
    <row r="4" spans="1:10">
      <c r="A4" s="16">
        <v>3</v>
      </c>
      <c r="B4" s="17" t="s">
        <v>27</v>
      </c>
      <c r="C4" s="17" t="s">
        <v>65</v>
      </c>
      <c r="D4" s="17" t="s">
        <v>66</v>
      </c>
      <c r="E4" s="3" t="s">
        <v>13</v>
      </c>
      <c r="F4" s="3">
        <v>1</v>
      </c>
      <c r="G4" s="17" t="s">
        <v>67</v>
      </c>
      <c r="H4" s="17" t="s">
        <v>68</v>
      </c>
      <c r="I4" s="17" t="s">
        <v>69</v>
      </c>
      <c r="J4" s="20"/>
    </row>
    <row r="5" spans="1:10">
      <c r="A5" s="16">
        <v>4</v>
      </c>
      <c r="B5" s="17" t="s">
        <v>27</v>
      </c>
      <c r="C5" s="17" t="s">
        <v>70</v>
      </c>
      <c r="D5" s="17" t="s">
        <v>66</v>
      </c>
      <c r="E5" s="3" t="s">
        <v>13</v>
      </c>
      <c r="F5" s="3">
        <v>1</v>
      </c>
      <c r="G5" s="17" t="s">
        <v>71</v>
      </c>
      <c r="H5" s="17" t="s">
        <v>72</v>
      </c>
      <c r="I5" s="17" t="s">
        <v>73</v>
      </c>
      <c r="J5" s="20"/>
    </row>
    <row r="6" spans="1:10">
      <c r="A6" s="16">
        <v>5</v>
      </c>
      <c r="B6" s="17" t="s">
        <v>27</v>
      </c>
      <c r="C6" s="17" t="s">
        <v>74</v>
      </c>
      <c r="D6" s="17" t="s">
        <v>75</v>
      </c>
      <c r="E6" s="3" t="s">
        <v>13</v>
      </c>
      <c r="F6" s="3">
        <v>1</v>
      </c>
      <c r="G6" s="17" t="s">
        <v>76</v>
      </c>
      <c r="H6" s="17" t="s">
        <v>77</v>
      </c>
      <c r="I6" s="17" t="s">
        <v>78</v>
      </c>
      <c r="J6" s="20"/>
    </row>
    <row r="7" spans="1:10">
      <c r="A7" s="16">
        <v>6</v>
      </c>
      <c r="B7" s="17" t="s">
        <v>30</v>
      </c>
      <c r="C7" s="17" t="s">
        <v>79</v>
      </c>
      <c r="D7" s="17" t="s">
        <v>80</v>
      </c>
      <c r="E7" s="3" t="s">
        <v>13</v>
      </c>
      <c r="F7" s="3">
        <v>1</v>
      </c>
      <c r="G7" s="17" t="s">
        <v>81</v>
      </c>
      <c r="H7" s="17" t="s">
        <v>82</v>
      </c>
      <c r="I7" s="17" t="s">
        <v>83</v>
      </c>
      <c r="J7" s="20"/>
    </row>
    <row r="8" spans="1:10">
      <c r="A8" s="16">
        <v>7</v>
      </c>
      <c r="B8" s="17" t="s">
        <v>30</v>
      </c>
      <c r="C8" s="17" t="s">
        <v>84</v>
      </c>
      <c r="D8" s="17" t="s">
        <v>85</v>
      </c>
      <c r="E8" s="3" t="s">
        <v>13</v>
      </c>
      <c r="F8" s="3">
        <v>1</v>
      </c>
      <c r="G8" s="17" t="s">
        <v>86</v>
      </c>
      <c r="H8" s="17" t="s">
        <v>87</v>
      </c>
      <c r="I8" s="17" t="s">
        <v>88</v>
      </c>
      <c r="J8" s="20"/>
    </row>
    <row r="9" spans="1:10">
      <c r="A9" s="16">
        <v>8</v>
      </c>
      <c r="B9" s="17" t="s">
        <v>30</v>
      </c>
      <c r="C9" s="17" t="s">
        <v>89</v>
      </c>
      <c r="D9" s="17" t="s">
        <v>90</v>
      </c>
      <c r="E9" s="3" t="s">
        <v>13</v>
      </c>
      <c r="F9" s="3">
        <v>1</v>
      </c>
      <c r="G9" s="17" t="s">
        <v>91</v>
      </c>
      <c r="H9" s="17" t="s">
        <v>87</v>
      </c>
      <c r="I9" s="17" t="s">
        <v>92</v>
      </c>
      <c r="J9" s="20"/>
    </row>
    <row r="10" spans="1:10">
      <c r="A10" s="16">
        <v>9</v>
      </c>
      <c r="B10" s="17" t="s">
        <v>30</v>
      </c>
      <c r="C10" s="17" t="s">
        <v>93</v>
      </c>
      <c r="D10" s="17" t="s">
        <v>80</v>
      </c>
      <c r="E10" s="3" t="s">
        <v>16</v>
      </c>
      <c r="F10" s="3">
        <v>2</v>
      </c>
      <c r="G10" s="17" t="s">
        <v>94</v>
      </c>
      <c r="H10" s="17" t="s">
        <v>82</v>
      </c>
      <c r="I10" s="17" t="s">
        <v>95</v>
      </c>
      <c r="J10" s="20"/>
    </row>
    <row r="11" spans="1:10">
      <c r="A11" s="16">
        <v>10</v>
      </c>
      <c r="B11" s="17" t="s">
        <v>30</v>
      </c>
      <c r="C11" s="17" t="s">
        <v>96</v>
      </c>
      <c r="D11" s="17" t="s">
        <v>80</v>
      </c>
      <c r="E11" s="3" t="s">
        <v>19</v>
      </c>
      <c r="F11" s="3">
        <v>4</v>
      </c>
      <c r="G11" s="17" t="s">
        <v>97</v>
      </c>
      <c r="H11" s="17" t="s">
        <v>98</v>
      </c>
      <c r="I11" s="17" t="s">
        <v>99</v>
      </c>
      <c r="J11" s="20"/>
    </row>
    <row r="12" spans="1:10">
      <c r="A12" s="16">
        <v>11</v>
      </c>
      <c r="B12" s="17" t="s">
        <v>32</v>
      </c>
      <c r="C12" s="17" t="s">
        <v>100</v>
      </c>
      <c r="D12" s="17" t="s">
        <v>80</v>
      </c>
      <c r="E12" s="3" t="s">
        <v>13</v>
      </c>
      <c r="F12" s="3">
        <v>1</v>
      </c>
      <c r="G12" s="17" t="s">
        <v>101</v>
      </c>
      <c r="H12" s="17" t="s">
        <v>102</v>
      </c>
      <c r="I12" s="17" t="s">
        <v>103</v>
      </c>
      <c r="J12" s="20"/>
    </row>
    <row r="13" spans="1:10">
      <c r="A13" s="16">
        <v>12</v>
      </c>
      <c r="B13" s="17" t="s">
        <v>32</v>
      </c>
      <c r="C13" s="17" t="s">
        <v>104</v>
      </c>
      <c r="D13" s="17" t="s">
        <v>85</v>
      </c>
      <c r="E13" s="3" t="s">
        <v>13</v>
      </c>
      <c r="F13" s="3">
        <v>2</v>
      </c>
      <c r="G13" s="17" t="s">
        <v>105</v>
      </c>
      <c r="H13" s="17" t="s">
        <v>106</v>
      </c>
      <c r="I13" s="17" t="s">
        <v>107</v>
      </c>
      <c r="J13" s="20"/>
    </row>
    <row r="14" spans="1:10">
      <c r="A14" s="16">
        <v>13</v>
      </c>
      <c r="B14" s="17" t="s">
        <v>32</v>
      </c>
      <c r="C14" s="17" t="s">
        <v>108</v>
      </c>
      <c r="D14" s="17" t="s">
        <v>80</v>
      </c>
      <c r="E14" s="3" t="s">
        <v>16</v>
      </c>
      <c r="F14" s="3">
        <v>3</v>
      </c>
      <c r="G14" s="17" t="s">
        <v>109</v>
      </c>
      <c r="H14" s="17" t="s">
        <v>110</v>
      </c>
      <c r="I14" s="17" t="s">
        <v>111</v>
      </c>
      <c r="J14" s="20"/>
    </row>
    <row r="15" spans="1:10">
      <c r="A15" s="16">
        <v>14</v>
      </c>
      <c r="B15" s="17" t="s">
        <v>32</v>
      </c>
      <c r="C15" s="17" t="s">
        <v>112</v>
      </c>
      <c r="D15" s="17" t="s">
        <v>80</v>
      </c>
      <c r="E15" s="3" t="s">
        <v>16</v>
      </c>
      <c r="F15" s="3">
        <v>3</v>
      </c>
      <c r="G15" s="17" t="s">
        <v>113</v>
      </c>
      <c r="H15" s="17" t="s">
        <v>114</v>
      </c>
      <c r="I15" s="17" t="s">
        <v>115</v>
      </c>
      <c r="J15" s="20"/>
    </row>
    <row r="16" spans="1:10">
      <c r="A16" s="16">
        <v>15</v>
      </c>
      <c r="B16" s="17" t="s">
        <v>116</v>
      </c>
      <c r="C16" s="17" t="s">
        <v>117</v>
      </c>
      <c r="D16" s="17" t="s">
        <v>80</v>
      </c>
      <c r="E16" s="3" t="s">
        <v>13</v>
      </c>
      <c r="F16" s="3">
        <v>1</v>
      </c>
      <c r="G16" s="17" t="s">
        <v>118</v>
      </c>
      <c r="H16" s="17" t="s">
        <v>388</v>
      </c>
      <c r="I16" s="17" t="s">
        <v>119</v>
      </c>
      <c r="J16" s="20"/>
    </row>
    <row r="17" spans="1:10">
      <c r="A17" s="16">
        <v>16</v>
      </c>
      <c r="B17" s="17" t="s">
        <v>116</v>
      </c>
      <c r="C17" s="17" t="s">
        <v>120</v>
      </c>
      <c r="D17" s="17" t="s">
        <v>85</v>
      </c>
      <c r="E17" s="3" t="s">
        <v>13</v>
      </c>
      <c r="F17" s="3">
        <v>1</v>
      </c>
      <c r="G17" s="17" t="s">
        <v>121</v>
      </c>
      <c r="H17" s="17" t="s">
        <v>388</v>
      </c>
      <c r="I17" s="17" t="s">
        <v>122</v>
      </c>
      <c r="J17" s="20"/>
    </row>
    <row r="18" spans="1:10">
      <c r="A18" s="16">
        <v>17</v>
      </c>
      <c r="B18" s="17" t="s">
        <v>116</v>
      </c>
      <c r="C18" s="17" t="s">
        <v>123</v>
      </c>
      <c r="D18" s="17" t="s">
        <v>59</v>
      </c>
      <c r="E18" s="3" t="s">
        <v>13</v>
      </c>
      <c r="F18" s="3">
        <v>1</v>
      </c>
      <c r="G18" s="17" t="s">
        <v>124</v>
      </c>
      <c r="H18" s="17" t="s">
        <v>388</v>
      </c>
      <c r="I18" s="17" t="s">
        <v>125</v>
      </c>
      <c r="J18" s="20"/>
    </row>
    <row r="19" spans="1:10">
      <c r="A19" s="16">
        <v>18</v>
      </c>
      <c r="B19" s="17" t="s">
        <v>116</v>
      </c>
      <c r="C19" s="17" t="s">
        <v>126</v>
      </c>
      <c r="D19" s="17" t="s">
        <v>127</v>
      </c>
      <c r="E19" s="3" t="s">
        <v>13</v>
      </c>
      <c r="F19" s="3">
        <v>2</v>
      </c>
      <c r="G19" s="17" t="s">
        <v>128</v>
      </c>
      <c r="H19" s="17" t="s">
        <v>129</v>
      </c>
      <c r="I19" s="17" t="s">
        <v>130</v>
      </c>
      <c r="J19" s="20"/>
    </row>
    <row r="20" spans="1:10">
      <c r="A20" s="16">
        <v>19</v>
      </c>
      <c r="B20" s="17" t="s">
        <v>116</v>
      </c>
      <c r="C20" s="17" t="s">
        <v>131</v>
      </c>
      <c r="D20" s="17" t="s">
        <v>132</v>
      </c>
      <c r="E20" s="3" t="s">
        <v>19</v>
      </c>
      <c r="F20" s="3">
        <v>4</v>
      </c>
      <c r="G20" s="17" t="s">
        <v>133</v>
      </c>
      <c r="H20" s="17" t="s">
        <v>114</v>
      </c>
      <c r="I20" s="17" t="s">
        <v>134</v>
      </c>
      <c r="J20" s="20"/>
    </row>
    <row r="21" spans="1:10">
      <c r="A21" s="16">
        <v>20</v>
      </c>
      <c r="B21" s="17" t="s">
        <v>37</v>
      </c>
      <c r="C21" s="17" t="s">
        <v>135</v>
      </c>
      <c r="D21" s="17" t="s">
        <v>80</v>
      </c>
      <c r="E21" s="3" t="s">
        <v>13</v>
      </c>
      <c r="F21" s="3">
        <v>2</v>
      </c>
      <c r="G21" s="17" t="s">
        <v>136</v>
      </c>
      <c r="H21" s="17" t="s">
        <v>389</v>
      </c>
      <c r="I21" s="17" t="s">
        <v>138</v>
      </c>
      <c r="J21" s="20"/>
    </row>
    <row r="22" spans="1:10">
      <c r="A22" s="16">
        <v>21</v>
      </c>
      <c r="B22" s="17" t="s">
        <v>37</v>
      </c>
      <c r="C22" s="17" t="s">
        <v>139</v>
      </c>
      <c r="D22" s="17" t="s">
        <v>85</v>
      </c>
      <c r="E22" s="3" t="s">
        <v>13</v>
      </c>
      <c r="F22" s="3">
        <v>2</v>
      </c>
      <c r="G22" s="17" t="s">
        <v>140</v>
      </c>
      <c r="H22" s="17" t="s">
        <v>141</v>
      </c>
      <c r="I22" s="17" t="s">
        <v>142</v>
      </c>
      <c r="J22" s="20"/>
    </row>
    <row r="23" spans="1:10">
      <c r="A23" s="16">
        <v>22</v>
      </c>
      <c r="B23" s="17" t="s">
        <v>37</v>
      </c>
      <c r="C23" s="17" t="s">
        <v>143</v>
      </c>
      <c r="D23" s="17" t="s">
        <v>90</v>
      </c>
      <c r="E23" s="3" t="s">
        <v>13</v>
      </c>
      <c r="F23" s="3">
        <v>2</v>
      </c>
      <c r="G23" s="17" t="s">
        <v>144</v>
      </c>
      <c r="H23" s="17" t="s">
        <v>141</v>
      </c>
      <c r="I23" s="17" t="s">
        <v>145</v>
      </c>
      <c r="J23" s="20"/>
    </row>
    <row r="24" spans="1:10" ht="24">
      <c r="A24" s="16">
        <v>23</v>
      </c>
      <c r="B24" s="17" t="s">
        <v>37</v>
      </c>
      <c r="C24" s="17" t="s">
        <v>146</v>
      </c>
      <c r="D24" s="17" t="s">
        <v>80</v>
      </c>
      <c r="E24" s="3" t="s">
        <v>13</v>
      </c>
      <c r="F24" s="3">
        <v>2</v>
      </c>
      <c r="G24" s="17" t="s">
        <v>147</v>
      </c>
      <c r="H24" s="17" t="s">
        <v>137</v>
      </c>
      <c r="I24" s="17" t="s">
        <v>148</v>
      </c>
      <c r="J24" s="20"/>
    </row>
    <row r="25" spans="1:10">
      <c r="A25" s="16">
        <v>24</v>
      </c>
      <c r="B25" s="17" t="s">
        <v>37</v>
      </c>
      <c r="C25" s="17" t="s">
        <v>149</v>
      </c>
      <c r="D25" s="17" t="s">
        <v>85</v>
      </c>
      <c r="E25" s="3" t="s">
        <v>13</v>
      </c>
      <c r="F25" s="3">
        <v>2</v>
      </c>
      <c r="G25" s="17" t="s">
        <v>150</v>
      </c>
      <c r="H25" s="17" t="s">
        <v>141</v>
      </c>
      <c r="I25" s="17" t="s">
        <v>151</v>
      </c>
      <c r="J25" s="20"/>
    </row>
    <row r="26" spans="1:10">
      <c r="A26" s="16">
        <v>25</v>
      </c>
      <c r="B26" s="17" t="s">
        <v>37</v>
      </c>
      <c r="C26" s="17" t="s">
        <v>152</v>
      </c>
      <c r="D26" s="17" t="s">
        <v>90</v>
      </c>
      <c r="E26" s="3" t="s">
        <v>13</v>
      </c>
      <c r="F26" s="3">
        <v>2</v>
      </c>
      <c r="G26" s="17" t="s">
        <v>153</v>
      </c>
      <c r="H26" s="17" t="s">
        <v>141</v>
      </c>
      <c r="I26" s="17" t="s">
        <v>154</v>
      </c>
      <c r="J26" s="20"/>
    </row>
    <row r="27" spans="1:10">
      <c r="A27" s="16">
        <v>26</v>
      </c>
      <c r="B27" s="17" t="s">
        <v>37</v>
      </c>
      <c r="C27" s="17" t="s">
        <v>155</v>
      </c>
      <c r="D27" s="17" t="s">
        <v>80</v>
      </c>
      <c r="E27" s="3" t="s">
        <v>13</v>
      </c>
      <c r="F27" s="3">
        <v>2</v>
      </c>
      <c r="G27" s="17" t="s">
        <v>390</v>
      </c>
      <c r="H27" s="17" t="s">
        <v>137</v>
      </c>
      <c r="I27" s="17" t="s">
        <v>156</v>
      </c>
      <c r="J27" s="20"/>
    </row>
    <row r="28" spans="1:10">
      <c r="A28" s="16">
        <v>27</v>
      </c>
      <c r="B28" s="17" t="s">
        <v>37</v>
      </c>
      <c r="C28" s="17" t="s">
        <v>157</v>
      </c>
      <c r="D28" s="17" t="s">
        <v>85</v>
      </c>
      <c r="E28" s="3" t="s">
        <v>16</v>
      </c>
      <c r="F28" s="3">
        <v>3</v>
      </c>
      <c r="G28" s="17" t="s">
        <v>158</v>
      </c>
      <c r="H28" s="17" t="s">
        <v>87</v>
      </c>
      <c r="I28" s="17" t="s">
        <v>159</v>
      </c>
      <c r="J28" s="20"/>
    </row>
    <row r="29" spans="1:10">
      <c r="A29" s="16">
        <v>28</v>
      </c>
      <c r="B29" s="17" t="s">
        <v>37</v>
      </c>
      <c r="C29" s="17" t="s">
        <v>160</v>
      </c>
      <c r="D29" s="17" t="s">
        <v>90</v>
      </c>
      <c r="E29" s="3" t="s">
        <v>16</v>
      </c>
      <c r="F29" s="3">
        <v>3</v>
      </c>
      <c r="G29" s="17" t="s">
        <v>161</v>
      </c>
      <c r="H29" s="17" t="s">
        <v>87</v>
      </c>
      <c r="I29" s="17" t="s">
        <v>162</v>
      </c>
      <c r="J29" s="20"/>
    </row>
    <row r="30" spans="1:10">
      <c r="A30" s="16">
        <v>29</v>
      </c>
      <c r="B30" s="17" t="s">
        <v>37</v>
      </c>
      <c r="C30" s="17" t="s">
        <v>163</v>
      </c>
      <c r="D30" s="17" t="s">
        <v>164</v>
      </c>
      <c r="E30" s="3" t="s">
        <v>13</v>
      </c>
      <c r="F30" s="3">
        <v>2</v>
      </c>
      <c r="G30" s="17" t="s">
        <v>165</v>
      </c>
      <c r="H30" s="17" t="s">
        <v>389</v>
      </c>
      <c r="I30" s="17" t="s">
        <v>166</v>
      </c>
      <c r="J30" s="20"/>
    </row>
    <row r="31" spans="1:10" ht="24">
      <c r="A31" s="16">
        <v>30</v>
      </c>
      <c r="B31" s="17" t="s">
        <v>37</v>
      </c>
      <c r="C31" s="17" t="s">
        <v>167</v>
      </c>
      <c r="D31" s="17" t="s">
        <v>168</v>
      </c>
      <c r="E31" s="3" t="s">
        <v>13</v>
      </c>
      <c r="F31" s="3">
        <v>2</v>
      </c>
      <c r="G31" s="17" t="s">
        <v>169</v>
      </c>
      <c r="H31" s="17" t="s">
        <v>389</v>
      </c>
      <c r="I31" s="17" t="s">
        <v>170</v>
      </c>
      <c r="J31" s="20"/>
    </row>
    <row r="32" spans="1:10">
      <c r="A32" s="16">
        <v>31</v>
      </c>
      <c r="B32" s="17" t="s">
        <v>37</v>
      </c>
      <c r="C32" s="17" t="s">
        <v>171</v>
      </c>
      <c r="D32" s="17" t="s">
        <v>168</v>
      </c>
      <c r="E32" s="3" t="s">
        <v>16</v>
      </c>
      <c r="F32" s="3">
        <v>3</v>
      </c>
      <c r="G32" s="17" t="s">
        <v>172</v>
      </c>
      <c r="H32" s="17" t="s">
        <v>173</v>
      </c>
      <c r="I32" s="17" t="s">
        <v>174</v>
      </c>
      <c r="J32" s="20"/>
    </row>
    <row r="33" spans="1:10">
      <c r="A33" s="16">
        <v>32</v>
      </c>
      <c r="B33" s="17" t="s">
        <v>37</v>
      </c>
      <c r="C33" s="17" t="s">
        <v>175</v>
      </c>
      <c r="D33" s="17" t="s">
        <v>168</v>
      </c>
      <c r="E33" s="3" t="s">
        <v>16</v>
      </c>
      <c r="F33" s="3">
        <v>3</v>
      </c>
      <c r="G33" s="17" t="s">
        <v>176</v>
      </c>
      <c r="H33" s="17" t="s">
        <v>173</v>
      </c>
      <c r="I33" s="17" t="s">
        <v>177</v>
      </c>
      <c r="J33" s="20"/>
    </row>
    <row r="34" spans="1:10">
      <c r="A34" s="16">
        <v>33</v>
      </c>
      <c r="B34" s="17" t="s">
        <v>39</v>
      </c>
      <c r="C34" s="17" t="s">
        <v>178</v>
      </c>
      <c r="D34" s="17" t="s">
        <v>80</v>
      </c>
      <c r="E34" s="3" t="s">
        <v>16</v>
      </c>
      <c r="F34" s="3">
        <v>3</v>
      </c>
      <c r="G34" s="17" t="s">
        <v>179</v>
      </c>
      <c r="H34" s="17" t="s">
        <v>180</v>
      </c>
      <c r="I34" s="17" t="s">
        <v>181</v>
      </c>
      <c r="J34" s="20"/>
    </row>
    <row r="35" spans="1:10">
      <c r="A35" s="16">
        <v>34</v>
      </c>
      <c r="B35" s="17" t="s">
        <v>39</v>
      </c>
      <c r="C35" s="17" t="s">
        <v>182</v>
      </c>
      <c r="D35" s="17" t="s">
        <v>183</v>
      </c>
      <c r="E35" s="3" t="s">
        <v>19</v>
      </c>
      <c r="F35" s="3">
        <v>4</v>
      </c>
      <c r="G35" s="17" t="s">
        <v>184</v>
      </c>
      <c r="H35" s="17" t="s">
        <v>180</v>
      </c>
      <c r="I35" s="17" t="s">
        <v>185</v>
      </c>
      <c r="J35" s="20"/>
    </row>
    <row r="36" spans="1:10">
      <c r="A36" s="16">
        <v>35</v>
      </c>
      <c r="B36" s="17" t="s">
        <v>39</v>
      </c>
      <c r="C36" s="17" t="s">
        <v>186</v>
      </c>
      <c r="D36" s="17" t="s">
        <v>187</v>
      </c>
      <c r="E36" s="3" t="s">
        <v>19</v>
      </c>
      <c r="F36" s="3">
        <v>4</v>
      </c>
      <c r="G36" s="17" t="s">
        <v>188</v>
      </c>
      <c r="H36" s="17" t="s">
        <v>98</v>
      </c>
      <c r="I36" s="17" t="s">
        <v>189</v>
      </c>
      <c r="J36" s="20"/>
    </row>
    <row r="37" spans="1:10">
      <c r="A37" s="16">
        <v>36</v>
      </c>
      <c r="B37" s="17" t="s">
        <v>39</v>
      </c>
      <c r="C37" s="17" t="s">
        <v>190</v>
      </c>
      <c r="D37" s="17" t="s">
        <v>191</v>
      </c>
      <c r="E37" s="3" t="s">
        <v>19</v>
      </c>
      <c r="F37" s="3">
        <v>4</v>
      </c>
      <c r="G37" s="17" t="s">
        <v>192</v>
      </c>
      <c r="H37" s="17" t="s">
        <v>180</v>
      </c>
      <c r="I37" s="17" t="s">
        <v>193</v>
      </c>
      <c r="J37" s="20"/>
    </row>
    <row r="38" spans="1:10">
      <c r="A38" s="16">
        <v>37</v>
      </c>
      <c r="B38" s="17" t="s">
        <v>194</v>
      </c>
      <c r="C38" s="17" t="s">
        <v>195</v>
      </c>
      <c r="D38" s="17" t="s">
        <v>80</v>
      </c>
      <c r="E38" s="3" t="s">
        <v>13</v>
      </c>
      <c r="F38" s="3">
        <v>2</v>
      </c>
      <c r="G38" s="17" t="s">
        <v>196</v>
      </c>
      <c r="H38" s="17" t="s">
        <v>197</v>
      </c>
      <c r="I38" s="17" t="s">
        <v>198</v>
      </c>
      <c r="J38" s="20"/>
    </row>
    <row r="39" spans="1:10">
      <c r="A39" s="16">
        <v>38</v>
      </c>
      <c r="B39" s="17" t="s">
        <v>194</v>
      </c>
      <c r="C39" s="17" t="s">
        <v>199</v>
      </c>
      <c r="D39" s="17" t="s">
        <v>85</v>
      </c>
      <c r="E39" s="3" t="s">
        <v>13</v>
      </c>
      <c r="F39" s="3">
        <v>2</v>
      </c>
      <c r="G39" s="17" t="s">
        <v>200</v>
      </c>
      <c r="H39" s="17" t="s">
        <v>197</v>
      </c>
      <c r="I39" s="17" t="s">
        <v>201</v>
      </c>
      <c r="J39" s="20"/>
    </row>
    <row r="40" spans="1:10">
      <c r="A40" s="16">
        <v>39</v>
      </c>
      <c r="B40" s="17" t="s">
        <v>194</v>
      </c>
      <c r="C40" s="17" t="s">
        <v>202</v>
      </c>
      <c r="D40" s="17" t="s">
        <v>80</v>
      </c>
      <c r="E40" s="3" t="s">
        <v>13</v>
      </c>
      <c r="F40" s="3">
        <v>2</v>
      </c>
      <c r="G40" s="17" t="s">
        <v>203</v>
      </c>
      <c r="H40" s="17" t="s">
        <v>197</v>
      </c>
      <c r="I40" s="17" t="s">
        <v>204</v>
      </c>
      <c r="J40" s="20"/>
    </row>
    <row r="41" spans="1:10">
      <c r="A41" s="16">
        <v>40</v>
      </c>
      <c r="B41" s="17" t="s">
        <v>194</v>
      </c>
      <c r="C41" s="17" t="s">
        <v>205</v>
      </c>
      <c r="D41" s="17" t="s">
        <v>85</v>
      </c>
      <c r="E41" s="3" t="s">
        <v>13</v>
      </c>
      <c r="F41" s="3">
        <v>2</v>
      </c>
      <c r="G41" s="17" t="s">
        <v>206</v>
      </c>
      <c r="H41" s="17" t="s">
        <v>197</v>
      </c>
      <c r="I41" s="17" t="s">
        <v>207</v>
      </c>
      <c r="J41" s="20"/>
    </row>
    <row r="42" spans="1:10">
      <c r="A42" s="16">
        <v>41</v>
      </c>
      <c r="B42" s="17" t="s">
        <v>194</v>
      </c>
      <c r="C42" s="17" t="s">
        <v>208</v>
      </c>
      <c r="D42" s="17" t="s">
        <v>59</v>
      </c>
      <c r="E42" s="3" t="s">
        <v>16</v>
      </c>
      <c r="F42" s="3">
        <v>3</v>
      </c>
      <c r="G42" s="17" t="s">
        <v>209</v>
      </c>
      <c r="H42" s="17" t="s">
        <v>197</v>
      </c>
      <c r="I42" s="17" t="s">
        <v>210</v>
      </c>
      <c r="J42" s="20"/>
    </row>
    <row r="43" spans="1:10">
      <c r="A43" s="16">
        <v>42</v>
      </c>
      <c r="B43" s="17" t="s">
        <v>194</v>
      </c>
      <c r="C43" s="17" t="s">
        <v>211</v>
      </c>
      <c r="D43" s="17" t="s">
        <v>80</v>
      </c>
      <c r="E43" s="3" t="s">
        <v>16</v>
      </c>
      <c r="F43" s="3">
        <v>3</v>
      </c>
      <c r="G43" s="17" t="s">
        <v>212</v>
      </c>
      <c r="H43" s="17" t="s">
        <v>197</v>
      </c>
      <c r="I43" s="17" t="s">
        <v>213</v>
      </c>
      <c r="J43" s="20"/>
    </row>
    <row r="44" spans="1:10">
      <c r="A44" s="16">
        <v>43</v>
      </c>
      <c r="B44" s="17" t="s">
        <v>194</v>
      </c>
      <c r="C44" s="17" t="s">
        <v>214</v>
      </c>
      <c r="D44" s="17" t="s">
        <v>80</v>
      </c>
      <c r="E44" s="3" t="s">
        <v>19</v>
      </c>
      <c r="F44" s="3">
        <v>4</v>
      </c>
      <c r="G44" s="17" t="s">
        <v>215</v>
      </c>
      <c r="H44" s="17" t="s">
        <v>216</v>
      </c>
      <c r="I44" s="17" t="s">
        <v>217</v>
      </c>
      <c r="J44" s="20"/>
    </row>
    <row r="45" spans="1:10">
      <c r="A45" s="16">
        <v>44</v>
      </c>
      <c r="B45" s="17" t="s">
        <v>44</v>
      </c>
      <c r="C45" s="17" t="s">
        <v>218</v>
      </c>
      <c r="D45" s="17" t="s">
        <v>80</v>
      </c>
      <c r="E45" s="3" t="s">
        <v>16</v>
      </c>
      <c r="F45" s="3">
        <v>3</v>
      </c>
      <c r="G45" s="17" t="s">
        <v>219</v>
      </c>
      <c r="H45" s="17" t="s">
        <v>141</v>
      </c>
      <c r="I45" s="17" t="s">
        <v>220</v>
      </c>
      <c r="J45" s="20"/>
    </row>
    <row r="46" spans="1:10">
      <c r="A46" s="16">
        <v>45</v>
      </c>
      <c r="B46" s="17" t="s">
        <v>44</v>
      </c>
      <c r="C46" s="17" t="s">
        <v>221</v>
      </c>
      <c r="D46" s="17" t="s">
        <v>85</v>
      </c>
      <c r="E46" s="3" t="s">
        <v>16</v>
      </c>
      <c r="F46" s="3">
        <v>3</v>
      </c>
      <c r="G46" s="17" t="s">
        <v>222</v>
      </c>
      <c r="H46" s="17" t="s">
        <v>87</v>
      </c>
      <c r="I46" s="17" t="s">
        <v>223</v>
      </c>
      <c r="J46" s="20"/>
    </row>
    <row r="47" spans="1:10">
      <c r="A47" s="16">
        <v>46</v>
      </c>
      <c r="B47" s="17" t="s">
        <v>44</v>
      </c>
      <c r="C47" s="17" t="s">
        <v>224</v>
      </c>
      <c r="D47" s="17" t="s">
        <v>80</v>
      </c>
      <c r="E47" s="3" t="s">
        <v>16</v>
      </c>
      <c r="F47" s="3">
        <v>3</v>
      </c>
      <c r="G47" s="17" t="s">
        <v>225</v>
      </c>
      <c r="H47" s="17" t="s">
        <v>87</v>
      </c>
      <c r="I47" s="17" t="s">
        <v>226</v>
      </c>
      <c r="J47" s="20"/>
    </row>
    <row r="48" spans="1:10">
      <c r="A48" s="16">
        <v>47</v>
      </c>
      <c r="B48" s="17" t="s">
        <v>44</v>
      </c>
      <c r="C48" s="17" t="s">
        <v>227</v>
      </c>
      <c r="D48" s="17" t="s">
        <v>85</v>
      </c>
      <c r="E48" s="3" t="s">
        <v>16</v>
      </c>
      <c r="F48" s="3">
        <v>3</v>
      </c>
      <c r="G48" s="17" t="s">
        <v>228</v>
      </c>
      <c r="H48" s="17" t="s">
        <v>87</v>
      </c>
      <c r="I48" s="17" t="s">
        <v>229</v>
      </c>
      <c r="J48" s="20"/>
    </row>
    <row r="49" spans="1:10">
      <c r="A49" s="16">
        <v>48</v>
      </c>
      <c r="B49" s="17" t="s">
        <v>44</v>
      </c>
      <c r="C49" s="17" t="s">
        <v>230</v>
      </c>
      <c r="D49" s="17" t="s">
        <v>85</v>
      </c>
      <c r="E49" s="3" t="s">
        <v>16</v>
      </c>
      <c r="F49" s="3">
        <v>3</v>
      </c>
      <c r="G49" s="17" t="s">
        <v>231</v>
      </c>
      <c r="H49" s="17" t="s">
        <v>87</v>
      </c>
      <c r="I49" s="17" t="s">
        <v>232</v>
      </c>
      <c r="J49" s="20"/>
    </row>
    <row r="50" spans="1:10">
      <c r="A50" s="16">
        <v>49</v>
      </c>
      <c r="B50" s="17" t="s">
        <v>47</v>
      </c>
      <c r="C50" s="17" t="s">
        <v>233</v>
      </c>
      <c r="D50" s="17" t="s">
        <v>80</v>
      </c>
      <c r="E50" s="3" t="s">
        <v>19</v>
      </c>
      <c r="F50" s="3">
        <v>4</v>
      </c>
      <c r="G50" s="17" t="s">
        <v>234</v>
      </c>
      <c r="H50" s="17" t="s">
        <v>106</v>
      </c>
      <c r="I50" s="17" t="s">
        <v>235</v>
      </c>
      <c r="J50" s="20"/>
    </row>
    <row r="51" spans="1:10">
      <c r="A51" s="16">
        <v>50</v>
      </c>
      <c r="B51" s="17" t="s">
        <v>47</v>
      </c>
      <c r="C51" s="17" t="s">
        <v>236</v>
      </c>
      <c r="D51" s="17" t="s">
        <v>85</v>
      </c>
      <c r="E51" s="3" t="s">
        <v>19</v>
      </c>
      <c r="F51" s="3">
        <v>4</v>
      </c>
      <c r="G51" s="17" t="s">
        <v>237</v>
      </c>
      <c r="H51" s="17" t="s">
        <v>106</v>
      </c>
      <c r="I51" s="17" t="s">
        <v>238</v>
      </c>
      <c r="J51" s="20"/>
    </row>
    <row r="52" spans="1:10">
      <c r="A52" s="16">
        <v>51</v>
      </c>
      <c r="B52" s="17" t="s">
        <v>47</v>
      </c>
      <c r="C52" s="17" t="s">
        <v>239</v>
      </c>
      <c r="D52" s="17" t="s">
        <v>80</v>
      </c>
      <c r="E52" s="3" t="s">
        <v>19</v>
      </c>
      <c r="F52" s="3">
        <v>4</v>
      </c>
      <c r="G52" s="17" t="s">
        <v>240</v>
      </c>
      <c r="H52" s="17" t="s">
        <v>106</v>
      </c>
      <c r="I52" s="17" t="s">
        <v>241</v>
      </c>
      <c r="J52" s="20"/>
    </row>
    <row r="53" spans="1:10">
      <c r="A53" s="16">
        <v>52</v>
      </c>
      <c r="B53" s="17" t="s">
        <v>47</v>
      </c>
      <c r="C53" s="17" t="s">
        <v>242</v>
      </c>
      <c r="D53" s="17" t="s">
        <v>85</v>
      </c>
      <c r="E53" s="3" t="s">
        <v>19</v>
      </c>
      <c r="F53" s="3">
        <v>4</v>
      </c>
      <c r="G53" s="17" t="s">
        <v>243</v>
      </c>
      <c r="H53" s="17" t="s">
        <v>106</v>
      </c>
      <c r="I53" s="17" t="s">
        <v>244</v>
      </c>
      <c r="J53" s="20"/>
    </row>
    <row r="54" spans="1:10">
      <c r="A54" s="16">
        <v>53</v>
      </c>
      <c r="B54" s="17" t="s">
        <v>47</v>
      </c>
      <c r="C54" s="17" t="s">
        <v>245</v>
      </c>
      <c r="D54" s="17" t="s">
        <v>246</v>
      </c>
      <c r="E54" s="3" t="s">
        <v>19</v>
      </c>
      <c r="F54" s="3">
        <v>4</v>
      </c>
      <c r="G54" s="17" t="s">
        <v>247</v>
      </c>
      <c r="H54" s="17" t="s">
        <v>114</v>
      </c>
      <c r="I54" s="17" t="s">
        <v>248</v>
      </c>
      <c r="J54" s="20"/>
    </row>
    <row r="55" spans="1:10">
      <c r="A55" s="16">
        <v>54</v>
      </c>
      <c r="B55" s="17" t="s">
        <v>249</v>
      </c>
      <c r="C55" s="17" t="s">
        <v>250</v>
      </c>
      <c r="D55" s="17" t="s">
        <v>251</v>
      </c>
      <c r="E55" s="3" t="s">
        <v>19</v>
      </c>
      <c r="F55" s="3">
        <v>5</v>
      </c>
      <c r="G55" s="17" t="s">
        <v>252</v>
      </c>
      <c r="H55" s="17" t="s">
        <v>114</v>
      </c>
      <c r="I55" s="17" t="s">
        <v>253</v>
      </c>
      <c r="J55" s="20"/>
    </row>
    <row r="56" spans="1:10">
      <c r="A56" s="16">
        <v>55</v>
      </c>
      <c r="B56" s="17" t="s">
        <v>249</v>
      </c>
      <c r="C56" s="17" t="s">
        <v>254</v>
      </c>
      <c r="D56" s="17" t="s">
        <v>255</v>
      </c>
      <c r="E56" s="3" t="s">
        <v>19</v>
      </c>
      <c r="F56" s="3">
        <v>4</v>
      </c>
      <c r="G56" s="17" t="s">
        <v>256</v>
      </c>
      <c r="H56" s="17" t="s">
        <v>257</v>
      </c>
      <c r="I56" s="17" t="s">
        <v>258</v>
      </c>
      <c r="J56" s="20"/>
    </row>
    <row r="57" spans="1:10">
      <c r="A57" s="16">
        <v>56</v>
      </c>
      <c r="B57" s="17" t="s">
        <v>249</v>
      </c>
      <c r="C57" s="17" t="s">
        <v>259</v>
      </c>
      <c r="D57" s="17" t="s">
        <v>260</v>
      </c>
      <c r="E57" s="3" t="s">
        <v>19</v>
      </c>
      <c r="F57" s="3">
        <v>4</v>
      </c>
      <c r="G57" s="17" t="s">
        <v>261</v>
      </c>
      <c r="H57" s="17" t="s">
        <v>262</v>
      </c>
      <c r="I57" s="17" t="s">
        <v>263</v>
      </c>
      <c r="J57" s="20"/>
    </row>
    <row r="58" spans="1:10">
      <c r="A58" s="16">
        <v>57</v>
      </c>
      <c r="B58" s="17" t="s">
        <v>249</v>
      </c>
      <c r="C58" s="17" t="s">
        <v>264</v>
      </c>
      <c r="D58" s="17" t="s">
        <v>260</v>
      </c>
      <c r="E58" s="3" t="s">
        <v>19</v>
      </c>
      <c r="F58" s="3">
        <v>4</v>
      </c>
      <c r="G58" s="17" t="s">
        <v>265</v>
      </c>
      <c r="H58" s="17" t="s">
        <v>262</v>
      </c>
      <c r="I58" s="17" t="s">
        <v>266</v>
      </c>
      <c r="J58" s="20"/>
    </row>
    <row r="59" spans="1:10">
      <c r="A59" s="18">
        <v>58</v>
      </c>
      <c r="B59" s="19" t="s">
        <v>249</v>
      </c>
      <c r="C59" s="19" t="s">
        <v>267</v>
      </c>
      <c r="D59" s="19" t="s">
        <v>268</v>
      </c>
      <c r="E59" s="12" t="s">
        <v>19</v>
      </c>
      <c r="F59" s="12">
        <v>4</v>
      </c>
      <c r="G59" s="19" t="s">
        <v>269</v>
      </c>
      <c r="H59" s="19" t="s">
        <v>270</v>
      </c>
      <c r="I59" s="19" t="s">
        <v>271</v>
      </c>
      <c r="J59" s="21"/>
    </row>
  </sheetData>
  <phoneticPr fontId="4" type="noConversion"/>
  <conditionalFormatting sqref="E2:E59">
    <cfRule type="expression" dxfId="50" priority="2">
      <formula>$E2="직접"</formula>
    </cfRule>
    <cfRule type="expression" dxfId="49" priority="3">
      <formula>$E2="확장"</formula>
    </cfRule>
  </conditionalFormatting>
  <conditionalFormatting sqref="F2:F5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3">
    <dataValidation type="list" sqref="D2:D59" xr:uid="{00000000-0002-0000-0100-000000000000}">
      <formula1>"법률,시행령,시행규칙,행정규칙,세칙/행정규칙,부령/규칙,고시,고시/가이드,가이드/규정,서식/표준문서,표준문서,규정/세칙,행정규칙/가이드,분쟁례,판례,사례,가이드,가이드/보도자료"</formula1>
    </dataValidation>
    <dataValidation type="list" sqref="E2:E59" xr:uid="{00000000-0002-0000-0100-000001000000}">
      <formula1>"직접,간접,확장"</formula1>
    </dataValidation>
    <dataValidation type="list" sqref="F2:F59" xr:uid="{00000000-0002-0000-01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9"/>
  <sheetViews>
    <sheetView topLeftCell="A19" zoomScale="70" zoomScaleNormal="70" workbookViewId="0">
      <selection activeCell="K18" sqref="K18"/>
    </sheetView>
  </sheetViews>
  <sheetFormatPr defaultRowHeight="13.8"/>
  <cols>
    <col min="1" max="1" width="6" customWidth="1"/>
    <col min="2" max="2" width="34" customWidth="1"/>
    <col min="3" max="3" width="14" customWidth="1"/>
    <col min="4" max="4" width="34" customWidth="1"/>
    <col min="5" max="5" width="14" customWidth="1"/>
    <col min="6" max="6" width="16" customWidth="1"/>
    <col min="7" max="8" width="42" customWidth="1"/>
    <col min="9" max="9" width="33.69921875" customWidth="1"/>
  </cols>
  <sheetData>
    <row r="1" spans="1:9">
      <c r="A1" s="5" t="s">
        <v>51</v>
      </c>
      <c r="B1" s="5" t="s">
        <v>52</v>
      </c>
      <c r="C1" s="5" t="s">
        <v>53</v>
      </c>
      <c r="D1" s="5" t="s">
        <v>272</v>
      </c>
      <c r="E1" s="5" t="s">
        <v>273</v>
      </c>
      <c r="F1" s="5" t="s">
        <v>274</v>
      </c>
      <c r="G1" s="5" t="s">
        <v>275</v>
      </c>
      <c r="H1" s="5" t="s">
        <v>276</v>
      </c>
      <c r="I1" s="5" t="s">
        <v>7</v>
      </c>
    </row>
    <row r="2" spans="1:9">
      <c r="A2" s="17">
        <v>1</v>
      </c>
      <c r="B2" s="17" t="s">
        <v>58</v>
      </c>
      <c r="C2" s="17" t="s">
        <v>59</v>
      </c>
      <c r="D2" s="17" t="s">
        <v>277</v>
      </c>
      <c r="E2" s="17" t="s">
        <v>278</v>
      </c>
      <c r="F2" s="17" t="s">
        <v>279</v>
      </c>
      <c r="G2" s="17" t="s">
        <v>280</v>
      </c>
      <c r="H2" s="17" t="s">
        <v>281</v>
      </c>
      <c r="I2" s="17" t="s">
        <v>282</v>
      </c>
    </row>
    <row r="3" spans="1:9">
      <c r="A3" s="17">
        <v>2</v>
      </c>
      <c r="B3" s="17" t="s">
        <v>62</v>
      </c>
      <c r="C3" s="17" t="s">
        <v>59</v>
      </c>
      <c r="D3" s="17" t="s">
        <v>277</v>
      </c>
      <c r="E3" s="17" t="s">
        <v>278</v>
      </c>
      <c r="F3" s="17" t="s">
        <v>279</v>
      </c>
      <c r="G3" s="17" t="s">
        <v>280</v>
      </c>
      <c r="H3" s="17" t="s">
        <v>281</v>
      </c>
      <c r="I3" s="17" t="s">
        <v>282</v>
      </c>
    </row>
    <row r="4" spans="1:9">
      <c r="A4" s="17">
        <v>3</v>
      </c>
      <c r="B4" s="17" t="s">
        <v>65</v>
      </c>
      <c r="C4" s="17" t="s">
        <v>66</v>
      </c>
      <c r="D4" s="17" t="s">
        <v>283</v>
      </c>
      <c r="E4" s="17" t="s">
        <v>284</v>
      </c>
      <c r="F4" s="17" t="s">
        <v>285</v>
      </c>
      <c r="G4" s="17" t="s">
        <v>286</v>
      </c>
      <c r="H4" s="17" t="s">
        <v>287</v>
      </c>
      <c r="I4" s="17" t="s">
        <v>282</v>
      </c>
    </row>
    <row r="5" spans="1:9">
      <c r="A5" s="17">
        <v>4</v>
      </c>
      <c r="B5" s="17" t="s">
        <v>70</v>
      </c>
      <c r="C5" s="17" t="s">
        <v>66</v>
      </c>
      <c r="D5" s="17" t="s">
        <v>283</v>
      </c>
      <c r="E5" s="17" t="s">
        <v>284</v>
      </c>
      <c r="F5" s="17" t="s">
        <v>285</v>
      </c>
      <c r="G5" s="17" t="s">
        <v>286</v>
      </c>
      <c r="H5" s="17" t="s">
        <v>287</v>
      </c>
      <c r="I5" s="17" t="s">
        <v>282</v>
      </c>
    </row>
    <row r="6" spans="1:9">
      <c r="A6" s="17">
        <v>5</v>
      </c>
      <c r="B6" s="17" t="s">
        <v>74</v>
      </c>
      <c r="C6" s="17" t="s">
        <v>75</v>
      </c>
      <c r="D6" s="17" t="s">
        <v>283</v>
      </c>
      <c r="E6" s="17" t="s">
        <v>284</v>
      </c>
      <c r="F6" s="17" t="s">
        <v>285</v>
      </c>
      <c r="G6" s="17" t="s">
        <v>286</v>
      </c>
      <c r="H6" s="17" t="s">
        <v>287</v>
      </c>
      <c r="I6" s="17" t="s">
        <v>282</v>
      </c>
    </row>
    <row r="7" spans="1:9">
      <c r="A7" s="17">
        <v>6</v>
      </c>
      <c r="B7" s="17" t="s">
        <v>79</v>
      </c>
      <c r="C7" s="17" t="s">
        <v>80</v>
      </c>
      <c r="D7" s="17" t="s">
        <v>288</v>
      </c>
      <c r="E7" s="17" t="s">
        <v>289</v>
      </c>
      <c r="F7" s="17" t="s">
        <v>279</v>
      </c>
      <c r="G7" s="17" t="s">
        <v>290</v>
      </c>
      <c r="H7" s="17" t="s">
        <v>281</v>
      </c>
      <c r="I7" s="17" t="s">
        <v>282</v>
      </c>
    </row>
    <row r="8" spans="1:9">
      <c r="A8" s="17">
        <v>7</v>
      </c>
      <c r="B8" s="17" t="s">
        <v>84</v>
      </c>
      <c r="C8" s="17" t="s">
        <v>85</v>
      </c>
      <c r="D8" s="17" t="s">
        <v>288</v>
      </c>
      <c r="E8" s="17" t="s">
        <v>289</v>
      </c>
      <c r="F8" s="17" t="s">
        <v>279</v>
      </c>
      <c r="G8" s="17" t="s">
        <v>290</v>
      </c>
      <c r="H8" s="17" t="s">
        <v>281</v>
      </c>
      <c r="I8" s="17" t="s">
        <v>282</v>
      </c>
    </row>
    <row r="9" spans="1:9">
      <c r="A9" s="17">
        <v>8</v>
      </c>
      <c r="B9" s="17" t="s">
        <v>89</v>
      </c>
      <c r="C9" s="17" t="s">
        <v>90</v>
      </c>
      <c r="D9" s="17" t="s">
        <v>288</v>
      </c>
      <c r="E9" s="17" t="s">
        <v>289</v>
      </c>
      <c r="F9" s="17" t="s">
        <v>279</v>
      </c>
      <c r="G9" s="17" t="s">
        <v>290</v>
      </c>
      <c r="H9" s="17" t="s">
        <v>281</v>
      </c>
      <c r="I9" s="17" t="s">
        <v>282</v>
      </c>
    </row>
    <row r="10" spans="1:9">
      <c r="A10" s="17">
        <v>9</v>
      </c>
      <c r="B10" s="17" t="s">
        <v>93</v>
      </c>
      <c r="C10" s="17" t="s">
        <v>80</v>
      </c>
      <c r="D10" s="17" t="s">
        <v>288</v>
      </c>
      <c r="E10" s="17" t="s">
        <v>289</v>
      </c>
      <c r="F10" s="17" t="s">
        <v>279</v>
      </c>
      <c r="G10" s="17" t="s">
        <v>290</v>
      </c>
      <c r="H10" s="17" t="s">
        <v>281</v>
      </c>
      <c r="I10" s="17" t="s">
        <v>282</v>
      </c>
    </row>
    <row r="11" spans="1:9">
      <c r="A11" s="17">
        <v>10</v>
      </c>
      <c r="B11" s="17" t="s">
        <v>96</v>
      </c>
      <c r="C11" s="17" t="s">
        <v>80</v>
      </c>
      <c r="D11" s="17" t="s">
        <v>288</v>
      </c>
      <c r="E11" s="17" t="s">
        <v>289</v>
      </c>
      <c r="F11" s="17" t="s">
        <v>279</v>
      </c>
      <c r="G11" s="17" t="s">
        <v>290</v>
      </c>
      <c r="H11" s="17" t="s">
        <v>281</v>
      </c>
      <c r="I11" s="17" t="s">
        <v>282</v>
      </c>
    </row>
    <row r="12" spans="1:9">
      <c r="A12" s="17">
        <v>11</v>
      </c>
      <c r="B12" s="17" t="s">
        <v>100</v>
      </c>
      <c r="C12" s="17" t="s">
        <v>80</v>
      </c>
      <c r="D12" s="17" t="s">
        <v>288</v>
      </c>
      <c r="E12" s="17" t="s">
        <v>289</v>
      </c>
      <c r="F12" s="17" t="s">
        <v>279</v>
      </c>
      <c r="G12" s="17" t="s">
        <v>290</v>
      </c>
      <c r="H12" s="17" t="s">
        <v>281</v>
      </c>
      <c r="I12" s="17" t="s">
        <v>282</v>
      </c>
    </row>
    <row r="13" spans="1:9">
      <c r="A13" s="17">
        <v>12</v>
      </c>
      <c r="B13" s="17" t="s">
        <v>104</v>
      </c>
      <c r="C13" s="17" t="s">
        <v>85</v>
      </c>
      <c r="D13" s="17" t="s">
        <v>288</v>
      </c>
      <c r="E13" s="17" t="s">
        <v>289</v>
      </c>
      <c r="F13" s="17" t="s">
        <v>279</v>
      </c>
      <c r="G13" s="17" t="s">
        <v>290</v>
      </c>
      <c r="H13" s="17" t="s">
        <v>281</v>
      </c>
      <c r="I13" s="17" t="s">
        <v>282</v>
      </c>
    </row>
    <row r="14" spans="1:9">
      <c r="A14" s="17">
        <v>13</v>
      </c>
      <c r="B14" s="17" t="s">
        <v>108</v>
      </c>
      <c r="C14" s="17" t="s">
        <v>80</v>
      </c>
      <c r="D14" s="17" t="s">
        <v>288</v>
      </c>
      <c r="E14" s="17" t="s">
        <v>289</v>
      </c>
      <c r="F14" s="17" t="s">
        <v>279</v>
      </c>
      <c r="G14" s="17" t="s">
        <v>290</v>
      </c>
      <c r="H14" s="17" t="s">
        <v>281</v>
      </c>
      <c r="I14" s="17" t="s">
        <v>282</v>
      </c>
    </row>
    <row r="15" spans="1:9">
      <c r="A15" s="17">
        <v>14</v>
      </c>
      <c r="B15" s="17" t="s">
        <v>112</v>
      </c>
      <c r="C15" s="17" t="s">
        <v>80</v>
      </c>
      <c r="D15" s="17" t="s">
        <v>288</v>
      </c>
      <c r="E15" s="17" t="s">
        <v>289</v>
      </c>
      <c r="F15" s="17" t="s">
        <v>279</v>
      </c>
      <c r="G15" s="17" t="s">
        <v>290</v>
      </c>
      <c r="H15" s="17" t="s">
        <v>281</v>
      </c>
      <c r="I15" s="17" t="s">
        <v>282</v>
      </c>
    </row>
    <row r="16" spans="1:9">
      <c r="A16" s="17">
        <v>15</v>
      </c>
      <c r="B16" s="17" t="s">
        <v>117</v>
      </c>
      <c r="C16" s="17" t="s">
        <v>80</v>
      </c>
      <c r="D16" s="17" t="s">
        <v>288</v>
      </c>
      <c r="E16" s="17" t="s">
        <v>289</v>
      </c>
      <c r="F16" s="17" t="s">
        <v>279</v>
      </c>
      <c r="G16" s="17" t="s">
        <v>290</v>
      </c>
      <c r="H16" s="17" t="s">
        <v>281</v>
      </c>
      <c r="I16" s="17" t="s">
        <v>282</v>
      </c>
    </row>
    <row r="17" spans="1:9">
      <c r="A17" s="17">
        <v>16</v>
      </c>
      <c r="B17" s="17" t="s">
        <v>120</v>
      </c>
      <c r="C17" s="17" t="s">
        <v>85</v>
      </c>
      <c r="D17" s="17" t="s">
        <v>288</v>
      </c>
      <c r="E17" s="17" t="s">
        <v>289</v>
      </c>
      <c r="F17" s="17" t="s">
        <v>279</v>
      </c>
      <c r="G17" s="17" t="s">
        <v>290</v>
      </c>
      <c r="H17" s="17" t="s">
        <v>281</v>
      </c>
      <c r="I17" s="17" t="s">
        <v>282</v>
      </c>
    </row>
    <row r="18" spans="1:9">
      <c r="A18" s="17">
        <v>17</v>
      </c>
      <c r="B18" s="17" t="s">
        <v>123</v>
      </c>
      <c r="C18" s="17" t="s">
        <v>59</v>
      </c>
      <c r="D18" s="17" t="s">
        <v>277</v>
      </c>
      <c r="E18" s="17" t="s">
        <v>278</v>
      </c>
      <c r="F18" s="17" t="s">
        <v>279</v>
      </c>
      <c r="G18" s="17" t="s">
        <v>280</v>
      </c>
      <c r="H18" s="17" t="s">
        <v>281</v>
      </c>
      <c r="I18" s="17" t="s">
        <v>282</v>
      </c>
    </row>
    <row r="19" spans="1:9">
      <c r="A19" s="17">
        <v>18</v>
      </c>
      <c r="B19" s="17" t="s">
        <v>126</v>
      </c>
      <c r="C19" s="17" t="s">
        <v>127</v>
      </c>
      <c r="D19" s="17" t="s">
        <v>277</v>
      </c>
      <c r="E19" s="17" t="s">
        <v>278</v>
      </c>
      <c r="F19" s="17" t="s">
        <v>279</v>
      </c>
      <c r="G19" s="17" t="s">
        <v>280</v>
      </c>
      <c r="H19" s="17" t="s">
        <v>281</v>
      </c>
      <c r="I19" s="17" t="s">
        <v>282</v>
      </c>
    </row>
    <row r="20" spans="1:9">
      <c r="A20" s="17">
        <v>19</v>
      </c>
      <c r="B20" s="17" t="s">
        <v>131</v>
      </c>
      <c r="C20" s="17" t="s">
        <v>132</v>
      </c>
      <c r="D20" s="17" t="s">
        <v>291</v>
      </c>
      <c r="E20" s="17" t="s">
        <v>292</v>
      </c>
      <c r="F20" s="17" t="s">
        <v>285</v>
      </c>
      <c r="G20" s="17" t="s">
        <v>293</v>
      </c>
      <c r="H20" s="17" t="s">
        <v>281</v>
      </c>
      <c r="I20" s="17" t="s">
        <v>282</v>
      </c>
    </row>
    <row r="21" spans="1:9">
      <c r="A21" s="17">
        <v>20</v>
      </c>
      <c r="B21" s="17" t="s">
        <v>135</v>
      </c>
      <c r="C21" s="17" t="s">
        <v>80</v>
      </c>
      <c r="D21" s="17" t="s">
        <v>288</v>
      </c>
      <c r="E21" s="17" t="s">
        <v>289</v>
      </c>
      <c r="F21" s="17" t="s">
        <v>279</v>
      </c>
      <c r="G21" s="17" t="s">
        <v>290</v>
      </c>
      <c r="H21" s="17" t="s">
        <v>281</v>
      </c>
      <c r="I21" s="17" t="s">
        <v>282</v>
      </c>
    </row>
    <row r="22" spans="1:9">
      <c r="A22" s="17">
        <v>21</v>
      </c>
      <c r="B22" s="17" t="s">
        <v>139</v>
      </c>
      <c r="C22" s="17" t="s">
        <v>85</v>
      </c>
      <c r="D22" s="17" t="s">
        <v>288</v>
      </c>
      <c r="E22" s="17" t="s">
        <v>289</v>
      </c>
      <c r="F22" s="17" t="s">
        <v>279</v>
      </c>
      <c r="G22" s="17" t="s">
        <v>290</v>
      </c>
      <c r="H22" s="17" t="s">
        <v>281</v>
      </c>
      <c r="I22" s="17" t="s">
        <v>282</v>
      </c>
    </row>
    <row r="23" spans="1:9">
      <c r="A23" s="17">
        <v>22</v>
      </c>
      <c r="B23" s="17" t="s">
        <v>143</v>
      </c>
      <c r="C23" s="17" t="s">
        <v>90</v>
      </c>
      <c r="D23" s="17" t="s">
        <v>288</v>
      </c>
      <c r="E23" s="17" t="s">
        <v>289</v>
      </c>
      <c r="F23" s="17" t="s">
        <v>279</v>
      </c>
      <c r="G23" s="17" t="s">
        <v>290</v>
      </c>
      <c r="H23" s="17" t="s">
        <v>281</v>
      </c>
      <c r="I23" s="17" t="s">
        <v>282</v>
      </c>
    </row>
    <row r="24" spans="1:9">
      <c r="A24" s="17">
        <v>23</v>
      </c>
      <c r="B24" s="17" t="s">
        <v>146</v>
      </c>
      <c r="C24" s="17" t="s">
        <v>80</v>
      </c>
      <c r="D24" s="17" t="s">
        <v>288</v>
      </c>
      <c r="E24" s="17" t="s">
        <v>289</v>
      </c>
      <c r="F24" s="17" t="s">
        <v>279</v>
      </c>
      <c r="G24" s="17" t="s">
        <v>290</v>
      </c>
      <c r="H24" s="17" t="s">
        <v>281</v>
      </c>
      <c r="I24" s="17" t="s">
        <v>282</v>
      </c>
    </row>
    <row r="25" spans="1:9">
      <c r="A25" s="17">
        <v>24</v>
      </c>
      <c r="B25" s="17" t="s">
        <v>149</v>
      </c>
      <c r="C25" s="17" t="s">
        <v>85</v>
      </c>
      <c r="D25" s="17" t="s">
        <v>288</v>
      </c>
      <c r="E25" s="17" t="s">
        <v>289</v>
      </c>
      <c r="F25" s="17" t="s">
        <v>279</v>
      </c>
      <c r="G25" s="17" t="s">
        <v>290</v>
      </c>
      <c r="H25" s="17" t="s">
        <v>281</v>
      </c>
      <c r="I25" s="17" t="s">
        <v>282</v>
      </c>
    </row>
    <row r="26" spans="1:9">
      <c r="A26" s="17">
        <v>25</v>
      </c>
      <c r="B26" s="17" t="s">
        <v>152</v>
      </c>
      <c r="C26" s="17" t="s">
        <v>90</v>
      </c>
      <c r="D26" s="17" t="s">
        <v>288</v>
      </c>
      <c r="E26" s="17" t="s">
        <v>289</v>
      </c>
      <c r="F26" s="17" t="s">
        <v>279</v>
      </c>
      <c r="G26" s="17" t="s">
        <v>290</v>
      </c>
      <c r="H26" s="17" t="s">
        <v>281</v>
      </c>
      <c r="I26" s="17" t="s">
        <v>282</v>
      </c>
    </row>
    <row r="27" spans="1:9">
      <c r="A27" s="17">
        <v>26</v>
      </c>
      <c r="B27" s="17" t="s">
        <v>155</v>
      </c>
      <c r="C27" s="17" t="s">
        <v>80</v>
      </c>
      <c r="D27" s="17" t="s">
        <v>288</v>
      </c>
      <c r="E27" s="17" t="s">
        <v>289</v>
      </c>
      <c r="F27" s="17" t="s">
        <v>279</v>
      </c>
      <c r="G27" s="17" t="s">
        <v>290</v>
      </c>
      <c r="H27" s="17" t="s">
        <v>281</v>
      </c>
      <c r="I27" s="17" t="s">
        <v>282</v>
      </c>
    </row>
    <row r="28" spans="1:9">
      <c r="A28" s="17">
        <v>27</v>
      </c>
      <c r="B28" s="17" t="s">
        <v>157</v>
      </c>
      <c r="C28" s="17" t="s">
        <v>85</v>
      </c>
      <c r="D28" s="17" t="s">
        <v>288</v>
      </c>
      <c r="E28" s="17" t="s">
        <v>289</v>
      </c>
      <c r="F28" s="17" t="s">
        <v>279</v>
      </c>
      <c r="G28" s="17" t="s">
        <v>290</v>
      </c>
      <c r="H28" s="17" t="s">
        <v>281</v>
      </c>
      <c r="I28" s="17" t="s">
        <v>282</v>
      </c>
    </row>
    <row r="29" spans="1:9">
      <c r="A29" s="17">
        <v>28</v>
      </c>
      <c r="B29" s="17" t="s">
        <v>160</v>
      </c>
      <c r="C29" s="17" t="s">
        <v>90</v>
      </c>
      <c r="D29" s="17" t="s">
        <v>288</v>
      </c>
      <c r="E29" s="17" t="s">
        <v>289</v>
      </c>
      <c r="F29" s="17" t="s">
        <v>279</v>
      </c>
      <c r="G29" s="17" t="s">
        <v>290</v>
      </c>
      <c r="H29" s="17" t="s">
        <v>281</v>
      </c>
      <c r="I29" s="17" t="s">
        <v>282</v>
      </c>
    </row>
    <row r="30" spans="1:9">
      <c r="A30" s="17">
        <v>29</v>
      </c>
      <c r="B30" s="17" t="s">
        <v>163</v>
      </c>
      <c r="C30" s="17" t="s">
        <v>164</v>
      </c>
      <c r="D30" s="17" t="s">
        <v>288</v>
      </c>
      <c r="E30" s="17" t="s">
        <v>289</v>
      </c>
      <c r="F30" s="17" t="s">
        <v>279</v>
      </c>
      <c r="G30" s="17" t="s">
        <v>290</v>
      </c>
      <c r="H30" s="17" t="s">
        <v>281</v>
      </c>
      <c r="I30" s="17" t="s">
        <v>282</v>
      </c>
    </row>
    <row r="31" spans="1:9">
      <c r="A31" s="17">
        <v>30</v>
      </c>
      <c r="B31" s="17" t="s">
        <v>167</v>
      </c>
      <c r="C31" s="17" t="s">
        <v>168</v>
      </c>
      <c r="D31" s="17" t="s">
        <v>291</v>
      </c>
      <c r="E31" s="17" t="s">
        <v>292</v>
      </c>
      <c r="F31" s="17" t="s">
        <v>285</v>
      </c>
      <c r="G31" s="17" t="s">
        <v>293</v>
      </c>
      <c r="H31" s="17" t="s">
        <v>281</v>
      </c>
      <c r="I31" s="17" t="s">
        <v>282</v>
      </c>
    </row>
    <row r="32" spans="1:9">
      <c r="A32" s="17">
        <v>31</v>
      </c>
      <c r="B32" s="17" t="s">
        <v>171</v>
      </c>
      <c r="C32" s="17" t="s">
        <v>168</v>
      </c>
      <c r="D32" s="17" t="s">
        <v>291</v>
      </c>
      <c r="E32" s="17" t="s">
        <v>292</v>
      </c>
      <c r="F32" s="17" t="s">
        <v>285</v>
      </c>
      <c r="G32" s="17" t="s">
        <v>293</v>
      </c>
      <c r="H32" s="17" t="s">
        <v>281</v>
      </c>
      <c r="I32" s="17" t="s">
        <v>282</v>
      </c>
    </row>
    <row r="33" spans="1:9">
      <c r="A33" s="17">
        <v>32</v>
      </c>
      <c r="B33" s="17" t="s">
        <v>175</v>
      </c>
      <c r="C33" s="17" t="s">
        <v>168</v>
      </c>
      <c r="D33" s="17" t="s">
        <v>291</v>
      </c>
      <c r="E33" s="17" t="s">
        <v>292</v>
      </c>
      <c r="F33" s="17" t="s">
        <v>285</v>
      </c>
      <c r="G33" s="17" t="s">
        <v>293</v>
      </c>
      <c r="H33" s="17" t="s">
        <v>281</v>
      </c>
      <c r="I33" s="17" t="s">
        <v>282</v>
      </c>
    </row>
    <row r="34" spans="1:9">
      <c r="A34" s="17">
        <v>33</v>
      </c>
      <c r="B34" s="17" t="s">
        <v>178</v>
      </c>
      <c r="C34" s="17" t="s">
        <v>80</v>
      </c>
      <c r="D34" s="17" t="s">
        <v>288</v>
      </c>
      <c r="E34" s="17" t="s">
        <v>289</v>
      </c>
      <c r="F34" s="17" t="s">
        <v>279</v>
      </c>
      <c r="G34" s="17" t="s">
        <v>290</v>
      </c>
      <c r="H34" s="17" t="s">
        <v>281</v>
      </c>
      <c r="I34" s="17" t="s">
        <v>282</v>
      </c>
    </row>
    <row r="35" spans="1:9">
      <c r="A35" s="17">
        <v>34</v>
      </c>
      <c r="B35" s="17" t="s">
        <v>182</v>
      </c>
      <c r="C35" s="17" t="s">
        <v>183</v>
      </c>
      <c r="D35" s="17" t="s">
        <v>294</v>
      </c>
      <c r="E35" s="17" t="s">
        <v>295</v>
      </c>
      <c r="F35" s="17" t="s">
        <v>296</v>
      </c>
      <c r="G35" s="17" t="s">
        <v>297</v>
      </c>
      <c r="H35" s="17" t="s">
        <v>298</v>
      </c>
      <c r="I35" s="17" t="s">
        <v>282</v>
      </c>
    </row>
    <row r="36" spans="1:9">
      <c r="A36" s="17">
        <v>35</v>
      </c>
      <c r="B36" s="17" t="s">
        <v>186</v>
      </c>
      <c r="C36" s="17" t="s">
        <v>187</v>
      </c>
      <c r="D36" s="17" t="s">
        <v>291</v>
      </c>
      <c r="E36" s="17" t="s">
        <v>292</v>
      </c>
      <c r="F36" s="17" t="s">
        <v>285</v>
      </c>
      <c r="G36" s="17" t="s">
        <v>293</v>
      </c>
      <c r="H36" s="17" t="s">
        <v>281</v>
      </c>
      <c r="I36" s="17" t="s">
        <v>282</v>
      </c>
    </row>
    <row r="37" spans="1:9">
      <c r="A37" s="17">
        <v>36</v>
      </c>
      <c r="B37" s="17" t="s">
        <v>190</v>
      </c>
      <c r="C37" s="17" t="s">
        <v>191</v>
      </c>
      <c r="D37" s="17" t="s">
        <v>294</v>
      </c>
      <c r="E37" s="17" t="s">
        <v>295</v>
      </c>
      <c r="F37" s="17" t="s">
        <v>296</v>
      </c>
      <c r="G37" s="17" t="s">
        <v>297</v>
      </c>
      <c r="H37" s="17" t="s">
        <v>298</v>
      </c>
      <c r="I37" s="17" t="s">
        <v>282</v>
      </c>
    </row>
    <row r="38" spans="1:9">
      <c r="A38" s="17">
        <v>37</v>
      </c>
      <c r="B38" s="17" t="s">
        <v>195</v>
      </c>
      <c r="C38" s="17" t="s">
        <v>80</v>
      </c>
      <c r="D38" s="17" t="s">
        <v>288</v>
      </c>
      <c r="E38" s="17" t="s">
        <v>289</v>
      </c>
      <c r="F38" s="17" t="s">
        <v>279</v>
      </c>
      <c r="G38" s="17" t="s">
        <v>290</v>
      </c>
      <c r="H38" s="17" t="s">
        <v>281</v>
      </c>
      <c r="I38" s="17" t="s">
        <v>282</v>
      </c>
    </row>
    <row r="39" spans="1:9">
      <c r="A39" s="17">
        <v>38</v>
      </c>
      <c r="B39" s="17" t="s">
        <v>199</v>
      </c>
      <c r="C39" s="17" t="s">
        <v>85</v>
      </c>
      <c r="D39" s="17" t="s">
        <v>288</v>
      </c>
      <c r="E39" s="17" t="s">
        <v>289</v>
      </c>
      <c r="F39" s="17" t="s">
        <v>279</v>
      </c>
      <c r="G39" s="17" t="s">
        <v>290</v>
      </c>
      <c r="H39" s="17" t="s">
        <v>281</v>
      </c>
      <c r="I39" s="17" t="s">
        <v>282</v>
      </c>
    </row>
    <row r="40" spans="1:9">
      <c r="A40" s="17">
        <v>39</v>
      </c>
      <c r="B40" s="17" t="s">
        <v>202</v>
      </c>
      <c r="C40" s="17" t="s">
        <v>80</v>
      </c>
      <c r="D40" s="17" t="s">
        <v>288</v>
      </c>
      <c r="E40" s="17" t="s">
        <v>289</v>
      </c>
      <c r="F40" s="17" t="s">
        <v>279</v>
      </c>
      <c r="G40" s="17" t="s">
        <v>290</v>
      </c>
      <c r="H40" s="17" t="s">
        <v>281</v>
      </c>
      <c r="I40" s="17" t="s">
        <v>282</v>
      </c>
    </row>
    <row r="41" spans="1:9">
      <c r="A41" s="17">
        <v>40</v>
      </c>
      <c r="B41" s="17" t="s">
        <v>205</v>
      </c>
      <c r="C41" s="17" t="s">
        <v>85</v>
      </c>
      <c r="D41" s="17" t="s">
        <v>288</v>
      </c>
      <c r="E41" s="17" t="s">
        <v>289</v>
      </c>
      <c r="F41" s="17" t="s">
        <v>279</v>
      </c>
      <c r="G41" s="17" t="s">
        <v>290</v>
      </c>
      <c r="H41" s="17" t="s">
        <v>281</v>
      </c>
      <c r="I41" s="17" t="s">
        <v>282</v>
      </c>
    </row>
    <row r="42" spans="1:9">
      <c r="A42" s="17">
        <v>41</v>
      </c>
      <c r="B42" s="17" t="s">
        <v>208</v>
      </c>
      <c r="C42" s="17" t="s">
        <v>59</v>
      </c>
      <c r="D42" s="17" t="s">
        <v>277</v>
      </c>
      <c r="E42" s="17" t="s">
        <v>278</v>
      </c>
      <c r="F42" s="17" t="s">
        <v>279</v>
      </c>
      <c r="G42" s="17" t="s">
        <v>280</v>
      </c>
      <c r="H42" s="17" t="s">
        <v>281</v>
      </c>
      <c r="I42" s="17" t="s">
        <v>282</v>
      </c>
    </row>
    <row r="43" spans="1:9">
      <c r="A43" s="17">
        <v>42</v>
      </c>
      <c r="B43" s="17" t="s">
        <v>211</v>
      </c>
      <c r="C43" s="17" t="s">
        <v>80</v>
      </c>
      <c r="D43" s="17" t="s">
        <v>288</v>
      </c>
      <c r="E43" s="17" t="s">
        <v>289</v>
      </c>
      <c r="F43" s="17" t="s">
        <v>279</v>
      </c>
      <c r="G43" s="17" t="s">
        <v>290</v>
      </c>
      <c r="H43" s="17" t="s">
        <v>281</v>
      </c>
      <c r="I43" s="17" t="s">
        <v>282</v>
      </c>
    </row>
    <row r="44" spans="1:9">
      <c r="A44" s="17">
        <v>43</v>
      </c>
      <c r="B44" s="17" t="s">
        <v>214</v>
      </c>
      <c r="C44" s="17" t="s">
        <v>80</v>
      </c>
      <c r="D44" s="17" t="s">
        <v>288</v>
      </c>
      <c r="E44" s="17" t="s">
        <v>289</v>
      </c>
      <c r="F44" s="17" t="s">
        <v>279</v>
      </c>
      <c r="G44" s="17" t="s">
        <v>290</v>
      </c>
      <c r="H44" s="17" t="s">
        <v>281</v>
      </c>
      <c r="I44" s="17" t="s">
        <v>282</v>
      </c>
    </row>
    <row r="45" spans="1:9">
      <c r="A45" s="17">
        <v>44</v>
      </c>
      <c r="B45" s="17" t="s">
        <v>218</v>
      </c>
      <c r="C45" s="17" t="s">
        <v>80</v>
      </c>
      <c r="D45" s="17" t="s">
        <v>288</v>
      </c>
      <c r="E45" s="17" t="s">
        <v>289</v>
      </c>
      <c r="F45" s="17" t="s">
        <v>279</v>
      </c>
      <c r="G45" s="17" t="s">
        <v>290</v>
      </c>
      <c r="H45" s="17" t="s">
        <v>281</v>
      </c>
      <c r="I45" s="17" t="s">
        <v>282</v>
      </c>
    </row>
    <row r="46" spans="1:9">
      <c r="A46" s="17">
        <v>45</v>
      </c>
      <c r="B46" s="17" t="s">
        <v>221</v>
      </c>
      <c r="C46" s="17" t="s">
        <v>85</v>
      </c>
      <c r="D46" s="17" t="s">
        <v>288</v>
      </c>
      <c r="E46" s="17" t="s">
        <v>289</v>
      </c>
      <c r="F46" s="17" t="s">
        <v>279</v>
      </c>
      <c r="G46" s="17" t="s">
        <v>290</v>
      </c>
      <c r="H46" s="17" t="s">
        <v>281</v>
      </c>
      <c r="I46" s="17" t="s">
        <v>282</v>
      </c>
    </row>
    <row r="47" spans="1:9">
      <c r="A47" s="17">
        <v>46</v>
      </c>
      <c r="B47" s="17" t="s">
        <v>224</v>
      </c>
      <c r="C47" s="17" t="s">
        <v>80</v>
      </c>
      <c r="D47" s="17" t="s">
        <v>288</v>
      </c>
      <c r="E47" s="17" t="s">
        <v>289</v>
      </c>
      <c r="F47" s="17" t="s">
        <v>279</v>
      </c>
      <c r="G47" s="17" t="s">
        <v>290</v>
      </c>
      <c r="H47" s="17" t="s">
        <v>281</v>
      </c>
      <c r="I47" s="17" t="s">
        <v>282</v>
      </c>
    </row>
    <row r="48" spans="1:9">
      <c r="A48" s="17">
        <v>47</v>
      </c>
      <c r="B48" s="17" t="s">
        <v>227</v>
      </c>
      <c r="C48" s="17" t="s">
        <v>85</v>
      </c>
      <c r="D48" s="17" t="s">
        <v>288</v>
      </c>
      <c r="E48" s="17" t="s">
        <v>289</v>
      </c>
      <c r="F48" s="17" t="s">
        <v>279</v>
      </c>
      <c r="G48" s="17" t="s">
        <v>290</v>
      </c>
      <c r="H48" s="17" t="s">
        <v>281</v>
      </c>
      <c r="I48" s="17" t="s">
        <v>282</v>
      </c>
    </row>
    <row r="49" spans="1:9">
      <c r="A49" s="17">
        <v>48</v>
      </c>
      <c r="B49" s="17" t="s">
        <v>230</v>
      </c>
      <c r="C49" s="17" t="s">
        <v>85</v>
      </c>
      <c r="D49" s="17" t="s">
        <v>288</v>
      </c>
      <c r="E49" s="17" t="s">
        <v>289</v>
      </c>
      <c r="F49" s="17" t="s">
        <v>279</v>
      </c>
      <c r="G49" s="17" t="s">
        <v>290</v>
      </c>
      <c r="H49" s="17" t="s">
        <v>281</v>
      </c>
      <c r="I49" s="17" t="s">
        <v>282</v>
      </c>
    </row>
    <row r="50" spans="1:9">
      <c r="A50" s="17">
        <v>49</v>
      </c>
      <c r="B50" s="17" t="s">
        <v>233</v>
      </c>
      <c r="C50" s="17" t="s">
        <v>80</v>
      </c>
      <c r="D50" s="17" t="s">
        <v>288</v>
      </c>
      <c r="E50" s="17" t="s">
        <v>289</v>
      </c>
      <c r="F50" s="17" t="s">
        <v>279</v>
      </c>
      <c r="G50" s="17" t="s">
        <v>290</v>
      </c>
      <c r="H50" s="17" t="s">
        <v>281</v>
      </c>
      <c r="I50" s="17" t="s">
        <v>282</v>
      </c>
    </row>
    <row r="51" spans="1:9">
      <c r="A51" s="17">
        <v>50</v>
      </c>
      <c r="B51" s="17" t="s">
        <v>236</v>
      </c>
      <c r="C51" s="17" t="s">
        <v>85</v>
      </c>
      <c r="D51" s="17" t="s">
        <v>288</v>
      </c>
      <c r="E51" s="17" t="s">
        <v>289</v>
      </c>
      <c r="F51" s="17" t="s">
        <v>279</v>
      </c>
      <c r="G51" s="17" t="s">
        <v>290</v>
      </c>
      <c r="H51" s="17" t="s">
        <v>281</v>
      </c>
      <c r="I51" s="17" t="s">
        <v>282</v>
      </c>
    </row>
    <row r="52" spans="1:9">
      <c r="A52" s="17">
        <v>51</v>
      </c>
      <c r="B52" s="17" t="s">
        <v>239</v>
      </c>
      <c r="C52" s="17" t="s">
        <v>80</v>
      </c>
      <c r="D52" s="17" t="s">
        <v>288</v>
      </c>
      <c r="E52" s="17" t="s">
        <v>289</v>
      </c>
      <c r="F52" s="17" t="s">
        <v>279</v>
      </c>
      <c r="G52" s="17" t="s">
        <v>290</v>
      </c>
      <c r="H52" s="17" t="s">
        <v>281</v>
      </c>
      <c r="I52" s="17" t="s">
        <v>282</v>
      </c>
    </row>
    <row r="53" spans="1:9">
      <c r="A53" s="17">
        <v>52</v>
      </c>
      <c r="B53" s="17" t="s">
        <v>242</v>
      </c>
      <c r="C53" s="17" t="s">
        <v>85</v>
      </c>
      <c r="D53" s="17" t="s">
        <v>288</v>
      </c>
      <c r="E53" s="17" t="s">
        <v>289</v>
      </c>
      <c r="F53" s="17" t="s">
        <v>279</v>
      </c>
      <c r="G53" s="17" t="s">
        <v>290</v>
      </c>
      <c r="H53" s="17" t="s">
        <v>281</v>
      </c>
      <c r="I53" s="17" t="s">
        <v>282</v>
      </c>
    </row>
    <row r="54" spans="1:9">
      <c r="A54" s="17">
        <v>53</v>
      </c>
      <c r="B54" s="17" t="s">
        <v>245</v>
      </c>
      <c r="C54" s="17" t="s">
        <v>246</v>
      </c>
      <c r="D54" s="17" t="s">
        <v>291</v>
      </c>
      <c r="E54" s="17" t="s">
        <v>292</v>
      </c>
      <c r="F54" s="17" t="s">
        <v>285</v>
      </c>
      <c r="G54" s="17" t="s">
        <v>293</v>
      </c>
      <c r="H54" s="17" t="s">
        <v>281</v>
      </c>
      <c r="I54" s="17" t="s">
        <v>282</v>
      </c>
    </row>
    <row r="55" spans="1:9">
      <c r="A55" s="17">
        <v>54</v>
      </c>
      <c r="B55" s="17" t="s">
        <v>250</v>
      </c>
      <c r="C55" s="17" t="s">
        <v>251</v>
      </c>
      <c r="D55" s="17" t="s">
        <v>294</v>
      </c>
      <c r="E55" s="17" t="s">
        <v>295</v>
      </c>
      <c r="F55" s="17" t="s">
        <v>296</v>
      </c>
      <c r="G55" s="17" t="s">
        <v>297</v>
      </c>
      <c r="H55" s="17" t="s">
        <v>298</v>
      </c>
      <c r="I55" s="17" t="s">
        <v>282</v>
      </c>
    </row>
    <row r="56" spans="1:9">
      <c r="A56" s="17">
        <v>55</v>
      </c>
      <c r="B56" s="17" t="s">
        <v>254</v>
      </c>
      <c r="C56" s="17" t="s">
        <v>255</v>
      </c>
      <c r="D56" s="17" t="s">
        <v>294</v>
      </c>
      <c r="E56" s="17" t="s">
        <v>295</v>
      </c>
      <c r="F56" s="17" t="s">
        <v>296</v>
      </c>
      <c r="G56" s="17" t="s">
        <v>297</v>
      </c>
      <c r="H56" s="17" t="s">
        <v>298</v>
      </c>
      <c r="I56" s="17" t="s">
        <v>282</v>
      </c>
    </row>
    <row r="57" spans="1:9">
      <c r="A57" s="17">
        <v>56</v>
      </c>
      <c r="B57" s="17" t="s">
        <v>259</v>
      </c>
      <c r="C57" s="17" t="s">
        <v>260</v>
      </c>
      <c r="D57" s="17" t="s">
        <v>294</v>
      </c>
      <c r="E57" s="17" t="s">
        <v>295</v>
      </c>
      <c r="F57" s="17" t="s">
        <v>296</v>
      </c>
      <c r="G57" s="17" t="s">
        <v>297</v>
      </c>
      <c r="H57" s="17" t="s">
        <v>298</v>
      </c>
      <c r="I57" s="17" t="s">
        <v>282</v>
      </c>
    </row>
    <row r="58" spans="1:9">
      <c r="A58" s="17">
        <v>57</v>
      </c>
      <c r="B58" s="17" t="s">
        <v>264</v>
      </c>
      <c r="C58" s="17" t="s">
        <v>260</v>
      </c>
      <c r="D58" s="17" t="s">
        <v>294</v>
      </c>
      <c r="E58" s="17" t="s">
        <v>295</v>
      </c>
      <c r="F58" s="17" t="s">
        <v>296</v>
      </c>
      <c r="G58" s="17" t="s">
        <v>297</v>
      </c>
      <c r="H58" s="17" t="s">
        <v>298</v>
      </c>
      <c r="I58" s="17" t="s">
        <v>282</v>
      </c>
    </row>
    <row r="59" spans="1:9">
      <c r="A59" s="17">
        <v>58</v>
      </c>
      <c r="B59" s="17" t="s">
        <v>267</v>
      </c>
      <c r="C59" s="17" t="s">
        <v>268</v>
      </c>
      <c r="D59" s="17" t="s">
        <v>294</v>
      </c>
      <c r="E59" s="17" t="s">
        <v>295</v>
      </c>
      <c r="F59" s="17" t="s">
        <v>296</v>
      </c>
      <c r="G59" s="17" t="s">
        <v>297</v>
      </c>
      <c r="H59" s="17" t="s">
        <v>298</v>
      </c>
      <c r="I59" s="17" t="s">
        <v>282</v>
      </c>
    </row>
  </sheetData>
  <phoneticPr fontId="4" type="noConversion"/>
  <dataValidations count="2">
    <dataValidation type="list" sqref="E2:E59" xr:uid="{00000000-0002-0000-0200-000000000000}">
      <formula1>"A,B,B/C,C,D,E"</formula1>
    </dataValidation>
    <dataValidation type="list" sqref="F2:F59" xr:uid="{00000000-0002-0000-0200-000001000000}">
      <formula1>"가능,부분가능,어려움/부분가능,어려움,미정"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zoomScale="85" zoomScaleNormal="85" workbookViewId="0">
      <selection activeCell="C12" sqref="C12"/>
    </sheetView>
  </sheetViews>
  <sheetFormatPr defaultRowHeight="13.8"/>
  <cols>
    <col min="1" max="1" width="18" customWidth="1"/>
    <col min="2" max="2" width="26" customWidth="1"/>
    <col min="3" max="3" width="48" customWidth="1"/>
    <col min="4" max="4" width="34" customWidth="1"/>
    <col min="5" max="5" width="16" customWidth="1"/>
    <col min="6" max="6" width="34" customWidth="1"/>
    <col min="7" max="7" width="32" customWidth="1"/>
  </cols>
  <sheetData>
    <row r="1" spans="1:7">
      <c r="A1" s="22" t="s">
        <v>299</v>
      </c>
      <c r="B1" s="23" t="s">
        <v>300</v>
      </c>
      <c r="C1" s="23" t="s">
        <v>301</v>
      </c>
      <c r="D1" s="23" t="s">
        <v>302</v>
      </c>
      <c r="E1" s="23" t="s">
        <v>303</v>
      </c>
      <c r="F1" s="23" t="s">
        <v>304</v>
      </c>
      <c r="G1" s="24" t="s">
        <v>7</v>
      </c>
    </row>
    <row r="2" spans="1:7" ht="24">
      <c r="A2" s="16" t="s">
        <v>305</v>
      </c>
      <c r="B2" s="17" t="s">
        <v>306</v>
      </c>
      <c r="C2" s="25" t="s">
        <v>307</v>
      </c>
      <c r="D2" s="17" t="s">
        <v>308</v>
      </c>
      <c r="E2" s="17" t="s">
        <v>309</v>
      </c>
      <c r="F2" s="17" t="s">
        <v>310</v>
      </c>
      <c r="G2" s="20" t="s">
        <v>311</v>
      </c>
    </row>
    <row r="3" spans="1:7" ht="36">
      <c r="A3" s="16" t="s">
        <v>312</v>
      </c>
      <c r="B3" s="17" t="s">
        <v>313</v>
      </c>
      <c r="C3" s="25" t="s">
        <v>314</v>
      </c>
      <c r="D3" s="17" t="s">
        <v>315</v>
      </c>
      <c r="E3" s="17" t="s">
        <v>309</v>
      </c>
      <c r="F3" s="17" t="s">
        <v>316</v>
      </c>
      <c r="G3" s="20" t="s">
        <v>317</v>
      </c>
    </row>
    <row r="4" spans="1:7" ht="24">
      <c r="A4" s="16" t="s">
        <v>318</v>
      </c>
      <c r="B4" s="17" t="s">
        <v>319</v>
      </c>
      <c r="C4" s="25" t="s">
        <v>320</v>
      </c>
      <c r="D4" s="17" t="s">
        <v>321</v>
      </c>
      <c r="E4" s="17" t="s">
        <v>309</v>
      </c>
      <c r="F4" s="17" t="s">
        <v>322</v>
      </c>
      <c r="G4" s="20" t="s">
        <v>323</v>
      </c>
    </row>
    <row r="5" spans="1:7" ht="24">
      <c r="A5" s="16" t="s">
        <v>324</v>
      </c>
      <c r="B5" s="17" t="s">
        <v>325</v>
      </c>
      <c r="C5" s="25" t="s">
        <v>326</v>
      </c>
      <c r="D5" s="17" t="s">
        <v>327</v>
      </c>
      <c r="E5" s="17" t="s">
        <v>328</v>
      </c>
      <c r="F5" s="17" t="s">
        <v>329</v>
      </c>
      <c r="G5" s="20" t="s">
        <v>330</v>
      </c>
    </row>
    <row r="6" spans="1:7" ht="36">
      <c r="A6" s="16" t="s">
        <v>331</v>
      </c>
      <c r="B6" s="17" t="s">
        <v>332</v>
      </c>
      <c r="C6" s="25" t="s">
        <v>333</v>
      </c>
      <c r="D6" s="17" t="s">
        <v>334</v>
      </c>
      <c r="E6" s="17" t="s">
        <v>309</v>
      </c>
      <c r="F6" s="17" t="s">
        <v>335</v>
      </c>
      <c r="G6" s="20" t="s">
        <v>336</v>
      </c>
    </row>
    <row r="7" spans="1:7" ht="24">
      <c r="A7" s="16" t="s">
        <v>337</v>
      </c>
      <c r="B7" s="17" t="s">
        <v>338</v>
      </c>
      <c r="C7" s="25" t="s">
        <v>339</v>
      </c>
      <c r="D7" s="17" t="s">
        <v>340</v>
      </c>
      <c r="E7" s="17" t="s">
        <v>309</v>
      </c>
      <c r="F7" s="17" t="s">
        <v>341</v>
      </c>
      <c r="G7" s="20" t="s">
        <v>342</v>
      </c>
    </row>
    <row r="8" spans="1:7">
      <c r="A8" s="16" t="s">
        <v>343</v>
      </c>
      <c r="B8" s="17" t="s">
        <v>344</v>
      </c>
      <c r="C8" s="25" t="s">
        <v>345</v>
      </c>
      <c r="D8" s="17" t="s">
        <v>346</v>
      </c>
      <c r="E8" s="17" t="s">
        <v>347</v>
      </c>
      <c r="F8" s="17" t="s">
        <v>348</v>
      </c>
      <c r="G8" s="20" t="s">
        <v>349</v>
      </c>
    </row>
    <row r="9" spans="1:7" ht="24">
      <c r="A9" s="16" t="s">
        <v>350</v>
      </c>
      <c r="B9" s="17" t="s">
        <v>351</v>
      </c>
      <c r="C9" s="25" t="s">
        <v>352</v>
      </c>
      <c r="D9" s="17" t="s">
        <v>353</v>
      </c>
      <c r="E9" s="17" t="s">
        <v>347</v>
      </c>
      <c r="F9" s="17" t="s">
        <v>354</v>
      </c>
      <c r="G9" s="20" t="s">
        <v>355</v>
      </c>
    </row>
    <row r="10" spans="1:7">
      <c r="A10" s="18" t="s">
        <v>356</v>
      </c>
      <c r="B10" s="19" t="s">
        <v>357</v>
      </c>
      <c r="C10" s="26" t="s">
        <v>358</v>
      </c>
      <c r="D10" s="19" t="s">
        <v>359</v>
      </c>
      <c r="E10" s="19" t="s">
        <v>347</v>
      </c>
      <c r="F10" s="19" t="s">
        <v>360</v>
      </c>
      <c r="G10" s="21" t="s">
        <v>361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tabSelected="1" zoomScale="110" zoomScaleNormal="110" workbookViewId="0">
      <selection activeCell="D14" sqref="D14"/>
    </sheetView>
  </sheetViews>
  <sheetFormatPr defaultRowHeight="13.8"/>
  <cols>
    <col min="1" max="1" width="6" customWidth="1"/>
    <col min="2" max="2" width="28" customWidth="1"/>
    <col min="3" max="3" width="56" customWidth="1"/>
    <col min="4" max="4" width="42" customWidth="1"/>
    <col min="5" max="5" width="30" customWidth="1"/>
  </cols>
  <sheetData>
    <row r="1" spans="1:5">
      <c r="A1" s="22" t="s">
        <v>51</v>
      </c>
      <c r="B1" s="23" t="s">
        <v>362</v>
      </c>
      <c r="C1" s="23" t="s">
        <v>363</v>
      </c>
      <c r="D1" s="23" t="s">
        <v>364</v>
      </c>
      <c r="E1" s="24" t="s">
        <v>7</v>
      </c>
    </row>
    <row r="2" spans="1:5">
      <c r="A2" s="16">
        <v>1</v>
      </c>
      <c r="B2" s="17" t="s">
        <v>365</v>
      </c>
      <c r="C2" s="17" t="s">
        <v>281</v>
      </c>
      <c r="D2" s="17" t="s">
        <v>366</v>
      </c>
      <c r="E2" s="20" t="s">
        <v>367</v>
      </c>
    </row>
    <row r="3" spans="1:5">
      <c r="A3" s="16">
        <v>2</v>
      </c>
      <c r="B3" s="17" t="s">
        <v>368</v>
      </c>
      <c r="C3" s="17" t="s">
        <v>369</v>
      </c>
      <c r="D3" s="17" t="s">
        <v>370</v>
      </c>
      <c r="E3" s="20" t="s">
        <v>371</v>
      </c>
    </row>
    <row r="4" spans="1:5">
      <c r="A4" s="16">
        <v>3</v>
      </c>
      <c r="B4" s="17" t="s">
        <v>372</v>
      </c>
      <c r="C4" s="17" t="s">
        <v>298</v>
      </c>
      <c r="D4" s="17" t="s">
        <v>373</v>
      </c>
      <c r="E4" s="20" t="s">
        <v>374</v>
      </c>
    </row>
    <row r="5" spans="1:5">
      <c r="A5" s="16">
        <v>4</v>
      </c>
      <c r="B5" s="17" t="s">
        <v>375</v>
      </c>
      <c r="C5" s="17" t="s">
        <v>376</v>
      </c>
      <c r="D5" s="17" t="s">
        <v>377</v>
      </c>
      <c r="E5" s="20" t="s">
        <v>378</v>
      </c>
    </row>
    <row r="6" spans="1:5">
      <c r="A6" s="18">
        <v>5</v>
      </c>
      <c r="B6" s="19" t="s">
        <v>379</v>
      </c>
      <c r="C6" s="19" t="s">
        <v>380</v>
      </c>
      <c r="D6" s="19" t="s">
        <v>381</v>
      </c>
      <c r="E6" s="21" t="s">
        <v>382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00. 개요</vt:lpstr>
      <vt:lpstr>01. 데이터 인벤토리(안)</vt:lpstr>
      <vt:lpstr>02. 수집가능성 점검</vt:lpstr>
      <vt:lpstr>03. DB연계(안)</vt:lpstr>
      <vt:lpstr>04. 참고출처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정재훈</dc:creator>
  <cp:lastModifiedBy>재훈 정</cp:lastModifiedBy>
  <dcterms:created xsi:type="dcterms:W3CDTF">2026-05-18T04:33:03Z</dcterms:created>
  <dcterms:modified xsi:type="dcterms:W3CDTF">2026-05-18T04:33:03Z</dcterms:modified>
</cp:coreProperties>
</file>